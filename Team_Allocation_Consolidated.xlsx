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O Summary" state="visible" r:id="rId4"/>
    <sheet sheetId="2" name="Raw Submissions" state="visible" r:id="rId5"/>
    <sheet sheetId="3" name="Allocation Matrix" state="visible" r:id="rId6"/>
    <sheet sheetId="4" name="Consensus (WACC)" state="visible" r:id="rId7"/>
    <sheet sheetId="5" name="Sector Summary" state="visible" r:id="rId8"/>
    <sheet sheetId="6" name="Notes &amp; Flags" state="visible" r:id="rId9"/>
  </sheets>
  <calcPr calcId="171027"/>
</workbook>
</file>

<file path=xl/sharedStrings.xml><?xml version="1.0" encoding="utf-8"?>
<sst xmlns="http://schemas.openxmlformats.org/spreadsheetml/2006/main" count="1308" uniqueCount="212">
  <si>
    <t>CIO SUMMARY — Consensus (₹150 Cr) vs Octopus Upside</t>
  </si>
  <si>
    <t>CAPITAL</t>
  </si>
  <si>
    <t>BLENDED BASE UPSIDE</t>
  </si>
  <si>
    <t>BLENDED 1Y UPSIDE</t>
  </si>
  <si>
    <t>TOP-5 CONCENTRATION</t>
  </si>
  <si>
    <t>₹150 Cr · 9 analysts</t>
  </si>
  <si>
    <t>17.2%</t>
  </si>
  <si>
    <t>35.8%</t>
  </si>
  <si>
    <t>33%</t>
  </si>
  <si>
    <t>Weight bars = conviction · Base/1Y shaded red→green (low→high), negative Base in red. Long bar + red Base = crowded &amp; low-upside; short bar + green = under-owned.</t>
  </si>
  <si>
    <t>#</t>
  </si>
  <si>
    <t>Stock</t>
  </si>
  <si>
    <t>Sector</t>
  </si>
  <si>
    <t>₹Cr</t>
  </si>
  <si>
    <t>Wt %</t>
  </si>
  <si>
    <t>Bk</t>
  </si>
  <si>
    <t>Bear</t>
  </si>
  <si>
    <t>Base</t>
  </si>
  <si>
    <t>Bull</t>
  </si>
  <si>
    <t>1Y</t>
  </si>
  <si>
    <t>2Y</t>
  </si>
  <si>
    <t>R:R</t>
  </si>
  <si>
    <t>Motherson</t>
  </si>
  <si>
    <t>Auto Components</t>
  </si>
  <si>
    <t/>
  </si>
  <si>
    <t>GPIL</t>
  </si>
  <si>
    <t>Metals &amp; Mining</t>
  </si>
  <si>
    <t>SBI</t>
  </si>
  <si>
    <t>Banks</t>
  </si>
  <si>
    <t>—</t>
  </si>
  <si>
    <t>CRAMC</t>
  </si>
  <si>
    <t>Asset Management</t>
  </si>
  <si>
    <t>↑bear</t>
  </si>
  <si>
    <t>ICICI Bank</t>
  </si>
  <si>
    <t>Prestige Estates</t>
  </si>
  <si>
    <t>Real Estate</t>
  </si>
  <si>
    <t>HDFC AMC</t>
  </si>
  <si>
    <t>Nifty PSU Bank ETF</t>
  </si>
  <si>
    <t>Banking ETF</t>
  </si>
  <si>
    <t>JM Financial</t>
  </si>
  <si>
    <t>Capital Markets</t>
  </si>
  <si>
    <t>Axis Bank</t>
  </si>
  <si>
    <t>Motilal Oswal</t>
  </si>
  <si>
    <t>Interarch</t>
  </si>
  <si>
    <t>Building Materials</t>
  </si>
  <si>
    <t>Karnataka Bank</t>
  </si>
  <si>
    <t>Saregama</t>
  </si>
  <si>
    <t>Media &amp; Entertainment</t>
  </si>
  <si>
    <t>WeWork</t>
  </si>
  <si>
    <t>Real Estate (Coworking)</t>
  </si>
  <si>
    <t>IIFL Finance</t>
  </si>
  <si>
    <t>NBFC</t>
  </si>
  <si>
    <t>Nuvama</t>
  </si>
  <si>
    <t>Nifty Bank ETF</t>
  </si>
  <si>
    <t>Smartworks</t>
  </si>
  <si>
    <t>Aditya Birla Real Estate</t>
  </si>
  <si>
    <t>Suraksha Diagnostic</t>
  </si>
  <si>
    <t>Healthcare</t>
  </si>
  <si>
    <t>Brookfield India REIT</t>
  </si>
  <si>
    <t>REITs</t>
  </si>
  <si>
    <t>Bajaj Finserv</t>
  </si>
  <si>
    <t>NBFC / Financials</t>
  </si>
  <si>
    <t>KFIN</t>
  </si>
  <si>
    <t>Five Star Business</t>
  </si>
  <si>
    <t>Hindustan Petroleum</t>
  </si>
  <si>
    <t>Oil &amp; Gas</t>
  </si>
  <si>
    <t>Park Hotels</t>
  </si>
  <si>
    <t>Hospitality</t>
  </si>
  <si>
    <t>Bank of Baroda</t>
  </si>
  <si>
    <t>Bank of India</t>
  </si>
  <si>
    <t>Aptus</t>
  </si>
  <si>
    <t>Housing Finance</t>
  </si>
  <si>
    <t>CSB Bank</t>
  </si>
  <si>
    <t>Manappuram</t>
  </si>
  <si>
    <t>MCX</t>
  </si>
  <si>
    <t>TOTAL / blended</t>
  </si>
  <si>
    <t>WACC = capital-weighted consensus (Σ raw ₹Cr ÷ ₹1171 deployed × 150). Upsides = Octopus model: Bear/Base/Bull to fair value, 1Y/2Y target. R:R = Base ÷ |Bear|; "↑" = bear above CMP, "—" = base ≤ 0. Blanks = no Octopus coverage (6 names). Full detail on the Consensus (WACC) &amp; Notes sheets.</t>
  </si>
  <si>
    <t>Raw Submissions — every line transcribed verbatim (₹ Cr)</t>
  </si>
  <si>
    <t>Contributor</t>
  </si>
  <si>
    <t>Source</t>
  </si>
  <si>
    <t>Original Name</t>
  </si>
  <si>
    <t>Normalized</t>
  </si>
  <si>
    <t>Sector (curated)</t>
  </si>
  <si>
    <t>₹ Cr</t>
  </si>
  <si>
    <t>Flag / Note</t>
  </si>
  <si>
    <t>Sid Kanodia (Octopus model)</t>
  </si>
  <si>
    <t>Sid Kanodia (Octopus-model based)</t>
  </si>
  <si>
    <t>Suraksha</t>
  </si>
  <si>
    <t>Interarch Building</t>
  </si>
  <si>
    <t>Abhishek Biyani</t>
  </si>
  <si>
    <t>Abhishek Biyani (WeWork/Saregama list)</t>
  </si>
  <si>
    <t>Manappuram Finance</t>
  </si>
  <si>
    <t>2nd Nuvama line → combined to ₹20 Cr</t>
  </si>
  <si>
    <t>Prestige</t>
  </si>
  <si>
    <t>ABREL</t>
  </si>
  <si>
    <t>Prachi Khaitan</t>
  </si>
  <si>
    <t>Prachi Khaitan (sector-tagged list)</t>
  </si>
  <si>
    <t>BOB</t>
  </si>
  <si>
    <t>BOI</t>
  </si>
  <si>
    <t>Axis</t>
  </si>
  <si>
    <t>ICICI</t>
  </si>
  <si>
    <t>Debanjan</t>
  </si>
  <si>
    <t>Img4</t>
  </si>
  <si>
    <t>Jay</t>
  </si>
  <si>
    <t>Img5</t>
  </si>
  <si>
    <t>Mayecha</t>
  </si>
  <si>
    <t>Img6</t>
  </si>
  <si>
    <t>MO</t>
  </si>
  <si>
    <t>PSU Bank Index</t>
  </si>
  <si>
    <t>Shreevar</t>
  </si>
  <si>
    <t>Img7</t>
  </si>
  <si>
    <t>Brookfield REIT</t>
  </si>
  <si>
    <t>Aditya Birla</t>
  </si>
  <si>
    <t>label partly cut off — assumed Aditya Birla Real Estate</t>
  </si>
  <si>
    <t>Motilal</t>
  </si>
  <si>
    <t>Saket</t>
  </si>
  <si>
    <t>Img8</t>
  </si>
  <si>
    <t>MOSL</t>
  </si>
  <si>
    <t>CSB</t>
  </si>
  <si>
    <t>Anup</t>
  </si>
  <si>
    <t>Img9</t>
  </si>
  <si>
    <t>PSU Bees</t>
  </si>
  <si>
    <t>PSU Bees = Nifty PSU Bank ETF — corrected per Jay (Anup's ETF is PSU Bank, distinct from Sid's Nifty Bank ETF)</t>
  </si>
  <si>
    <t>GPIL ₹10 Cr — confirmed by Jay (was cut off in screenshot)</t>
  </si>
  <si>
    <t>Allocation Matrix — ₹ Cr per contributor (rows sorted by WACC, capital-weighted)</t>
  </si>
  <si>
    <t>Team Σ (raw)</t>
  </si>
  <si>
    <t># Backers</t>
  </si>
  <si>
    <t>WACC ₹Cr</t>
  </si>
  <si>
    <t>WACC %</t>
  </si>
  <si>
    <t>TOTAL</t>
  </si>
  <si>
    <t>WACC = capital-weighted consensus (each member's actual ₹Cr pooled ÷ total deployed × 150). See the Consensus sheet for the equal-weight comparison. Sid Kanodia (Image 3) is Octopus-model-derived.</t>
  </si>
  <si>
    <t>Consensus — WACC (capital-weighted, primary) vs Equal-weight; 9 books on a ₹150 Cr book</t>
  </si>
  <si>
    <t>Equal-wt ₹Cr</t>
  </si>
  <si>
    <t>Equal-wt %</t>
  </si>
  <si>
    <t>Δ (WACC−Eq)</t>
  </si>
  <si>
    <t># Backers /9</t>
  </si>
  <si>
    <t>Avg ₹Cr when backed</t>
  </si>
  <si>
    <t>In DB?</t>
  </si>
  <si>
    <t>CMP</t>
  </si>
  <si>
    <t>Bear %</t>
  </si>
  <si>
    <t>Base %</t>
  </si>
  <si>
    <t>Bull %</t>
  </si>
  <si>
    <t>1Y %</t>
  </si>
  <si>
    <t>2Y %</t>
  </si>
  <si>
    <t>Yahoo Sym</t>
  </si>
  <si>
    <t>Ref Source</t>
  </si>
  <si>
    <t>No</t>
  </si>
  <si>
    <t>MOTHERSON.NS</t>
  </si>
  <si>
    <t>Octopus base; Jay 1Y/2Y</t>
  </si>
  <si>
    <t>Yes</t>
  </si>
  <si>
    <t>GPIL.NS</t>
  </si>
  <si>
    <t>Octopus model (DB)</t>
  </si>
  <si>
    <t>SBIN.NS</t>
  </si>
  <si>
    <t>CRAMC.NS</t>
  </si>
  <si>
    <t>ICICIBANK.NS</t>
  </si>
  <si>
    <t>PRESTIGE.NS</t>
  </si>
  <si>
    <t>Jay 1Y/2Y</t>
  </si>
  <si>
    <t>HDFCAMC.NS</t>
  </si>
  <si>
    <t>PSUBNKBEES.NS</t>
  </si>
  <si>
    <t>'PSU Bees' (PSUBNKBEES) — Jay, Mayecha, Anup. Distinct from Sid's Nifty Bank ETF.</t>
  </si>
  <si>
    <t>JMFINANCIL.NS</t>
  </si>
  <si>
    <t>AXISBANK.NS</t>
  </si>
  <si>
    <t>MOTILALOFS.NS</t>
  </si>
  <si>
    <t>INTERARCH.NS</t>
  </si>
  <si>
    <t>Sector = Building Materials (DB top-level mislabels as Real Estate).</t>
  </si>
  <si>
    <t>KTKBANK.NS</t>
  </si>
  <si>
    <t>Octopus base</t>
  </si>
  <si>
    <t>SAREGAMA.NS</t>
  </si>
  <si>
    <t>WEWORK.NS</t>
  </si>
  <si>
    <t>IIFL.NS</t>
  </si>
  <si>
    <t>NUVAMA.NS</t>
  </si>
  <si>
    <t>Abhishek Biyani: two ₹10 Cr lines combined to ₹20 Cr.</t>
  </si>
  <si>
    <t>BANKBEES.NS</t>
  </si>
  <si>
    <t>Banking-index ETF (BANKBEES) — Sid Kanodia only. Distinct from 'PSU Bees'.</t>
  </si>
  <si>
    <t>SMARTWORKS.NS</t>
  </si>
  <si>
    <t>ABREL.NS</t>
  </si>
  <si>
    <t>ABREL (Abhishek Biyani) + Shreevar 'Aditya Birla' merged; label cut off; absent from DB.</t>
  </si>
  <si>
    <t>SURAKSHA.NS</t>
  </si>
  <si>
    <t>BIRET.BO</t>
  </si>
  <si>
    <t>BAJAJFINSV.NS</t>
  </si>
  <si>
    <t>KFINTECH.NS</t>
  </si>
  <si>
    <t>FIVESTAR.NS</t>
  </si>
  <si>
    <t>HINDPETRO.NS</t>
  </si>
  <si>
    <t>PARKHOTELS.NS</t>
  </si>
  <si>
    <t>BANKBARODA.NS</t>
  </si>
  <si>
    <t>BANKINDIA.NS</t>
  </si>
  <si>
    <t>APTUS.NS</t>
  </si>
  <si>
    <t>CSBBANK.NS</t>
  </si>
  <si>
    <t>MANAPPURAM.NS</t>
  </si>
  <si>
    <t>MCX.NS</t>
  </si>
  <si>
    <t>Sector Summary — WACC (capital-weighted) vs Equal-weight sector mix</t>
  </si>
  <si>
    <t># Stocks</t>
  </si>
  <si>
    <t>Notes, Assumptions &amp; Data-Integrity Flags</t>
  </si>
  <si>
    <t>METHODOLOGY — two consensus methods</t>
  </si>
  <si>
    <t>PRIMARY = WACC (capital-weighted): stock ₹Cr = Σ(raw ₹Cr each analyst gave the stock) ÷ total capital deployed (₹1170.7 Cr across the 9 books) × 150. Each rupee counts equally → analysts who deployed more capital have proportionally more say; no scale-up of sub-₹150 books (no fabricated conviction). Sums to ₹150 by construction.</t>
  </si>
  <si>
    <t>SECONDARY = Equal-weight: scale each book to ₹150 first, then average across the 9 books — each ANALYST counts equally regardless of how much they deployed (sub-₹150 books are scaled up). Sums to ₹150. The 'Δ (WACC−Eq)' column on the Consensus sheet shows where the two diverge.</t>
  </si>
  <si>
    <t>Equal-weight per-book scale factors (₹raw → ×): Sid Kanodia (Octopus model) ₹150→×1.000   ·   Abhishek Biyani ₹150→×1.000   ·   Prachi Khaitan ₹150→×1.000   ·   Debanjan ₹100→×1.500   ·   Jay ₹90.7→×1.654   ·   Mayecha ₹120→×1.250   ·   Shreevar ₹150→×1.000   ·   Saket ₹145→×1.034   ·   Anup ₹115→×1.304</t>
  </si>
  <si>
    <t>Cash variant: un-deployed capital = ₹179.3 Cr of the ₹1350 Cr mandate. WACC here divides by DEPLOYED (₹1170.7 Cr) → a fully-invested ₹150 book. To instead treat un-deployed as deliberate cash, divide by the ₹1350 Cr mandate → stock weights would sum to 86.7%, remainder = cash.</t>
  </si>
  <si>
    <t>DATA-INTEGRITY FLAGS</t>
  </si>
  <si>
    <t>• Abhishek Biyani (WeWork/Saregama list) &amp; Prachi Khaitan (sector-tagged list): identities confirmed by Jay; both distinct contributors.</t>
  </si>
  <si>
    <t>• Anup — GPIL: ₹10 Cr (value was cut off in the screenshot; confirmed by Jay). Anup's book total ₹115 Cr.</t>
  </si>
  <si>
    <t>• ETFs are TWO distinct instruments: Nifty Bank ETF (BANKBEES — Sid Kanodia) vs Nifty PSU Bank ETF / 'PSU Bees' (PSUBNKBEES — Jay, Mayecha, Anup). Anup's ₹15 ETF reclassified from Nifty Bank → PSU Bees per Jay (book total unchanged).</t>
  </si>
  <si>
    <t>• Abhishek Biyani — Nuvama: appeared twice (₹10 + ₹10); both are part of the ₹150 total → combined into one ₹20 Cr position.</t>
  </si>
  <si>
    <t>• Aditya Birla: Abhishek Biyani 'ABREL' (₹7) + Shreevar 'Aditya Birla' (₹20, label partly cut off) merged as 'Aditya Birla Real Estate'. NOT enriched from database.json's ABCAPITAL (Aditya Birla Capital, a different NBFC entity). Confirm entity.</t>
  </si>
  <si>
    <t>• Book totals ≠ ₹150 Cr (raw — which is fine): Debanjan 100, Jay 90.7, Mayecha 120, Saket 145, Anup 115; Abhishek Biyani / Prachi Khaitan / Shreevar / Sid Kanodia = 150. Each is normalized to 150 only for the consensus blend.</t>
  </si>
  <si>
    <t>ENRICHMENT (Ref CMP / Ref Base Tgt / Ref Upside)</t>
  </si>
  <si>
    <t>Pulled live from data/database.json (base_current as 'Base Tgt', upside_base, last-known cmp — which is STALE, not live). Names absent from database.json (Motherson, Prestige, both Nifty ETFs, Karnataka Bank, Nuvama, Saregama, Aptus, Aditya Birla Real Estate) are filled from the screenshots where available (Octopus / Jay), else blank.</t>
  </si>
  <si>
    <t>Sector column is a CURATED canonical map, NOT database.json's top-level sector (which mislabels Interarch as 'Real Estate' — correct subsector is Building Materials).</t>
  </si>
  <si>
    <t>Yahoo symbols are best-effort; ETF symbols (Nifty Bank / PSU Bank) are indicative — verify before use.</t>
  </si>
  <si>
    <t>CONTRIBUTORS (9 team books, equal weight)</t>
  </si>
  <si>
    <t>Abhishek Biyani, Prachi Khaitan, Debanjan, Jay, Mayecha, Shreevar, Saket, Anup, Sid Kanodia (Octopus-model based).</t>
  </si>
  <si>
    <t>Generated 2026-06-15 from screenshots Img1–Img9. Edit scripts/build-allocation-workbook.ts (DATA BLOCK) and re-run to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</si>
</sst>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
    <numFmt numFmtId="166" formatCode="0.0"/>
    <numFmt numFmtId="167" formatCode="+#,##0.0;-#,##0.0"/>
  </numFmts>
  <fonts count="16" x14ac:knownFonts="1">
    <font>
      <color theme="1"/>
      <family val="2"/>
      <scheme val="minor"/>
      <sz val="11"/>
      <name val="Calibri"/>
    </font>
    <font>
      <b/>
      <color rgb="FFFFFFFF"/>
      <sz val="14"/>
    </font>
    <font>
      <b/>
      <color rgb="FF6B7280"/>
      <sz val="9"/>
    </font>
    <font>
      <b/>
      <color rgb="FF1F3A5F"/>
      <sz val="16"/>
    </font>
    <font>
      <i/>
      <color rgb="FF6B7280"/>
      <sz val="9"/>
    </font>
    <font>
      <b/>
      <color rgb="FFFFFFFF"/>
      <sz val="10"/>
    </font>
    <font>
      <sz val="10"/>
    </font>
    <font>
      <b/>
      <color rgb="FF1F3A5F"/>
    </font>
    <font>
      <color rgb="FF6B7280"/>
      <sz val="8.5"/>
    </font>
    <font>
      <b/>
      <color rgb="FF1F3A5F"/>
      <sz val="13"/>
    </font>
    <font>
      <b/>
      <color rgb="FFFFFFFF"/>
      <sz val="11"/>
    </font>
    <font>
      <i/>
      <color rgb="FF9A6700"/>
    </font>
    <font>
      <color rgb="FFB3261E"/>
    </font>
    <font>
      <color rgb="FF1B7F3B"/>
    </font>
    <font>
      <color rgb="FF666666"/>
    </font>
    <font>
      <b/>
      <color rgb="FF1F3A5F"/>
      <sz val="11"/>
    </font>
  </fonts>
  <fills count="7">
    <fill>
      <patternFill patternType="none"/>
    </fill>
    <fill>
      <patternFill patternType="gray125"/>
    </fill>
    <fill>
      <patternFill patternType="solid">
        <fgColor rgb="FF1F3A5F"/>
      </patternFill>
    </fill>
    <fill>
      <patternFill patternType="solid">
        <fgColor rgb="FFEFF3F8"/>
      </patternFill>
    </fill>
    <fill>
      <patternFill patternType="solid">
        <fgColor rgb="FFE8EEF5"/>
      </patternFill>
    </fill>
    <fill>
      <patternFill patternType="solid">
        <fgColor rgb="FFF6E0CE"/>
      </patternFill>
    </fill>
    <fill>
      <patternFill patternType="solid">
        <fgColor rgb="FFF7F9FB"/>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indent="1"/>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0" xfId="0" applyFont="1" applyAlignment="1">
      <alignment horizontal="left" vertical="center" wrapText="1" indent="1"/>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164" fontId="6" fillId="0" borderId="1" xfId="0" applyNumberFormat="1" applyFont="1" applyBorder="1" applyAlignment="1">
      <alignment horizontal="right" vertical="center"/>
    </xf>
    <xf numFmtId="165" fontId="6" fillId="0" borderId="1" xfId="0" applyNumberFormat="1" applyFont="1" applyBorder="1" applyAlignment="1">
      <alignment horizontal="right" vertical="center"/>
    </xf>
    <xf numFmtId="166" fontId="6" fillId="0" borderId="1" xfId="0" applyNumberFormat="1" applyFont="1" applyBorder="1" applyAlignment="1">
      <alignment horizontal="right" vertical="center"/>
    </xf>
    <xf numFmtId="0" fontId="7" fillId="4" borderId="1" xfId="0" applyFont="1" applyFill="1" applyBorder="1"/>
    <xf numFmtId="0" fontId="7" fillId="4" borderId="1" xfId="0" applyFont="1" applyFill="1" applyBorder="1" applyAlignment="1">
      <alignment horizontal="left" vertical="center"/>
    </xf>
    <xf numFmtId="164" fontId="7" fillId="4" borderId="1" xfId="0" applyNumberFormat="1" applyFont="1" applyFill="1" applyBorder="1" applyAlignment="1">
      <alignment horizontal="right" vertical="center"/>
    </xf>
    <xf numFmtId="165" fontId="7" fillId="4" borderId="1" xfId="0" applyNumberFormat="1" applyFont="1" applyFill="1" applyBorder="1" applyAlignment="1">
      <alignment horizontal="right" vertical="center"/>
    </xf>
    <xf numFmtId="0" fontId="8" fillId="0" borderId="0" xfId="0" applyFont="1" applyAlignment="1">
      <alignment horizontal="left" vertical="top" wrapText="1" indent="1"/>
    </xf>
    <xf numFmtId="0" fontId="9" fillId="5" borderId="0" xfId="0" applyFont="1" applyFill="1" applyAlignment="1">
      <alignment horizontal="left" vertical="center" indent="1"/>
    </xf>
    <xf numFmtId="0" fontId="10" fillId="2" borderId="1" xfId="0" applyFont="1" applyFill="1" applyBorder="1" applyAlignment="1">
      <alignment horizontal="center" vertical="center" wrapText="1"/>
    </xf>
    <xf numFmtId="0" fontId="0" fillId="0" borderId="1" xfId="0" applyBorder="1" applyAlignment="1">
      <alignment horizontal="left" vertical="center"/>
    </xf>
    <xf numFmtId="164" fontId="0" fillId="0" borderId="1" xfId="0" applyNumberFormat="1" applyBorder="1" applyAlignment="1">
      <alignment horizontal="right" vertical="center"/>
    </xf>
    <xf numFmtId="0" fontId="0" fillId="6" borderId="1" xfId="0" applyFill="1" applyBorder="1" applyAlignment="1">
      <alignment horizontal="left" vertical="center"/>
    </xf>
    <xf numFmtId="164" fontId="0" fillId="6" borderId="1" xfId="0" applyNumberFormat="1" applyFill="1" applyBorder="1" applyAlignment="1">
      <alignment horizontal="right" vertical="center"/>
    </xf>
    <xf numFmtId="0" fontId="0" fillId="0" borderId="1" xfId="0" applyBorder="1" applyAlignment="1">
      <alignment horizontal="center" vertical="center"/>
    </xf>
    <xf numFmtId="165" fontId="0" fillId="0" borderId="1" xfId="0" applyNumberFormat="1" applyBorder="1" applyAlignment="1">
      <alignment horizontal="right" vertical="center"/>
    </xf>
    <xf numFmtId="0" fontId="0" fillId="6" borderId="1" xfId="0" applyFill="1" applyBorder="1" applyAlignment="1">
      <alignment horizontal="center" vertical="center"/>
    </xf>
    <xf numFmtId="165" fontId="0" fillId="6" borderId="1" xfId="0" applyNumberFormat="1" applyFill="1" applyBorder="1" applyAlignment="1">
      <alignment horizontal="right" vertical="center"/>
    </xf>
    <xf numFmtId="0" fontId="7" fillId="4" borderId="1" xfId="0" applyFont="1" applyFill="1" applyBorder="1" applyAlignment="1">
      <alignment horizontal="center" vertical="center"/>
    </xf>
    <xf numFmtId="0" fontId="11" fillId="0" borderId="0" xfId="0" applyFont="1"/>
    <xf numFmtId="167" fontId="12" fillId="0" borderId="1" xfId="0" applyNumberFormat="1" applyFont="1" applyBorder="1" applyAlignment="1">
      <alignment horizontal="right" vertical="center"/>
    </xf>
    <xf numFmtId="3" fontId="0" fillId="0" borderId="1" xfId="0" applyNumberFormat="1" applyBorder="1" applyAlignment="1">
      <alignment horizontal="right" vertical="center"/>
    </xf>
    <xf numFmtId="166" fontId="0" fillId="0" borderId="1" xfId="0" applyNumberFormat="1" applyBorder="1" applyAlignment="1">
      <alignment horizontal="right" vertical="center"/>
    </xf>
    <xf numFmtId="167" fontId="13" fillId="6" borderId="1" xfId="0" applyNumberFormat="1" applyFont="1" applyFill="1" applyBorder="1" applyAlignment="1">
      <alignment horizontal="right" vertical="center"/>
    </xf>
    <xf numFmtId="3" fontId="0" fillId="6" borderId="1" xfId="0" applyNumberFormat="1" applyFill="1" applyBorder="1" applyAlignment="1">
      <alignment horizontal="right" vertical="center"/>
    </xf>
    <xf numFmtId="166" fontId="0" fillId="6" borderId="1" xfId="0" applyNumberFormat="1" applyFill="1" applyBorder="1" applyAlignment="1">
      <alignment horizontal="right" vertical="center"/>
    </xf>
    <xf numFmtId="167" fontId="13" fillId="0" borderId="1" xfId="0" applyNumberFormat="1" applyFont="1" applyBorder="1" applyAlignment="1">
      <alignment horizontal="right" vertical="center"/>
    </xf>
    <xf numFmtId="167" fontId="12" fillId="6" borderId="1" xfId="0" applyNumberFormat="1" applyFont="1" applyFill="1" applyBorder="1" applyAlignment="1">
      <alignment horizontal="right" vertical="center"/>
    </xf>
    <xf numFmtId="167" fontId="14" fillId="0" borderId="1" xfId="0" applyNumberFormat="1" applyFont="1" applyBorder="1" applyAlignment="1">
      <alignment horizontal="right" vertical="center"/>
    </xf>
    <xf numFmtId="167" fontId="7" fillId="4" borderId="1" xfId="0" applyNumberFormat="1" applyFont="1" applyFill="1" applyBorder="1" applyAlignment="1">
      <alignment horizontal="right" vertical="center"/>
    </xf>
    <xf numFmtId="0" fontId="9" fillId="5" borderId="0" xfId="0" applyFont="1" applyFill="1"/>
    <xf numFmtId="0" fontId="15" fillId="4" borderId="0" xfId="0" applyFont="1" applyFill="1"/>
    <xf numFmtId="0" fontId="0" fillId="0" borderId="0" xfId="0" applyAlignment="1">
      <alignment vertical="top" wrapText="1"/>
    </xf>
  </cellXfs>
  <cellStyles count="1">
    <cellStyle name="Normal" xfId="0" builtinId="0"/>
  </cellStyles>
  <dxfs count="1">
    <dxf>
      <font>
        <b/>
        <color rgb="FFB3261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workbookViewId="0">
      <pane ySplit="5" topLeftCell="A6" activePane="bottomLeft" state="frozen"/>
      <selection pane="bottomLeft"/>
    </sheetView>
  </sheetViews>
  <sheetFormatPr defaultRowHeight="15" outlineLevelRow="0" outlineLevelCol="0" x14ac:dyDescent="55"/>
  <cols>
    <col min="1" max="1" width="4" customWidth="1"/>
    <col min="2" max="2" width="22" customWidth="1"/>
    <col min="3" max="3" width="19" customWidth="1"/>
    <col min="5" max="5" width="8" customWidth="1"/>
    <col min="6" max="6" width="6" customWidth="1"/>
    <col min="7" max="12" width="8" customWidth="1"/>
  </cols>
  <sheetData>
    <row r="1" ht="26" customHeight="1" spans="1:12" x14ac:dyDescent="0.25">
      <c r="A1" s="1" t="s">
        <v>0</v>
      </c>
      <c r="B1" s="1"/>
      <c r="C1" s="1"/>
      <c r="D1" s="1"/>
      <c r="E1" s="1"/>
      <c r="F1" s="1"/>
      <c r="G1" s="1"/>
      <c r="H1" s="1"/>
      <c r="I1" s="1"/>
      <c r="J1" s="1"/>
      <c r="K1" s="1"/>
      <c r="L1" s="1"/>
    </row>
    <row r="2" ht="15" customHeight="1" spans="1:12" x14ac:dyDescent="0.25">
      <c r="A2" s="2" t="s">
        <v>1</v>
      </c>
      <c r="B2" s="2"/>
      <c r="C2" s="2"/>
      <c r="D2" s="2" t="s">
        <v>2</v>
      </c>
      <c r="E2" s="2"/>
      <c r="F2" s="2"/>
      <c r="G2" s="2" t="s">
        <v>3</v>
      </c>
      <c r="H2" s="2"/>
      <c r="I2" s="2"/>
      <c r="J2" s="2" t="s">
        <v>4</v>
      </c>
      <c r="K2" s="2"/>
      <c r="L2" s="2"/>
    </row>
    <row r="3" ht="28" customHeight="1" spans="1:12" x14ac:dyDescent="0.25">
      <c r="A3" s="3" t="s">
        <v>5</v>
      </c>
      <c r="B3" s="3"/>
      <c r="C3" s="3"/>
      <c r="D3" s="3" t="s">
        <v>6</v>
      </c>
      <c r="E3" s="3"/>
      <c r="F3" s="3"/>
      <c r="G3" s="3" t="s">
        <v>7</v>
      </c>
      <c r="H3" s="3"/>
      <c r="I3" s="3"/>
      <c r="J3" s="3" t="s">
        <v>8</v>
      </c>
      <c r="K3" s="3"/>
      <c r="L3" s="3"/>
    </row>
    <row r="4" ht="26" customHeight="1" spans="1:12" x14ac:dyDescent="0.25">
      <c r="A4" s="4" t="s">
        <v>9</v>
      </c>
      <c r="B4" s="4"/>
      <c r="C4" s="4"/>
      <c r="D4" s="4"/>
      <c r="E4" s="4"/>
      <c r="F4" s="4"/>
      <c r="G4" s="4"/>
      <c r="H4" s="4"/>
      <c r="I4" s="4"/>
      <c r="J4" s="4"/>
      <c r="K4" s="4"/>
      <c r="L4" s="4"/>
    </row>
    <row r="5" ht="20" customHeight="1" spans="1:12" x14ac:dyDescent="0.25">
      <c r="A5" s="5" t="s">
        <v>10</v>
      </c>
      <c r="B5" s="5" t="s">
        <v>11</v>
      </c>
      <c r="C5" s="5" t="s">
        <v>12</v>
      </c>
      <c r="D5" s="5" t="s">
        <v>13</v>
      </c>
      <c r="E5" s="5" t="s">
        <v>14</v>
      </c>
      <c r="F5" s="5" t="s">
        <v>15</v>
      </c>
      <c r="G5" s="5" t="s">
        <v>16</v>
      </c>
      <c r="H5" s="5" t="s">
        <v>17</v>
      </c>
      <c r="I5" s="5" t="s">
        <v>18</v>
      </c>
      <c r="J5" s="5" t="s">
        <v>19</v>
      </c>
      <c r="K5" s="5" t="s">
        <v>20</v>
      </c>
      <c r="L5" s="5" t="s">
        <v>21</v>
      </c>
    </row>
    <row r="6" spans="1:12" x14ac:dyDescent="0.25">
      <c r="A6" s="6">
        <v>1</v>
      </c>
      <c r="B6" s="7" t="s">
        <v>22</v>
      </c>
      <c r="C6" s="7" t="s">
        <v>23</v>
      </c>
      <c r="D6" s="8">
        <v>12</v>
      </c>
      <c r="E6" s="9">
        <v>0.08</v>
      </c>
      <c r="F6" s="6">
        <v>4</v>
      </c>
      <c r="G6" s="9" t="s">
        <v>24</v>
      </c>
      <c r="H6" s="9">
        <v>0.25</v>
      </c>
      <c r="I6" s="9" t="s">
        <v>24</v>
      </c>
      <c r="J6" s="9">
        <v>0.48</v>
      </c>
      <c r="K6" s="9">
        <v>0.74</v>
      </c>
      <c r="L6" s="10" t="s">
        <v>24</v>
      </c>
    </row>
    <row r="7" spans="1:12" x14ac:dyDescent="0.25">
      <c r="A7" s="6">
        <v>2</v>
      </c>
      <c r="B7" s="7" t="s">
        <v>25</v>
      </c>
      <c r="C7" s="7" t="s">
        <v>26</v>
      </c>
      <c r="D7" s="8">
        <v>9.9</v>
      </c>
      <c r="E7" s="9">
        <v>0.066</v>
      </c>
      <c r="F7" s="6">
        <v>6</v>
      </c>
      <c r="G7" s="9">
        <v>-0.07</v>
      </c>
      <c r="H7" s="9">
        <v>0.11</v>
      </c>
      <c r="I7" s="9">
        <v>0.28</v>
      </c>
      <c r="J7" s="9">
        <v>0.31</v>
      </c>
      <c r="K7" s="9">
        <v>0.54</v>
      </c>
      <c r="L7" s="10">
        <v>1.6</v>
      </c>
    </row>
    <row r="8" spans="1:12" x14ac:dyDescent="0.25">
      <c r="A8" s="6">
        <v>3</v>
      </c>
      <c r="B8" s="7" t="s">
        <v>27</v>
      </c>
      <c r="C8" s="7" t="s">
        <v>28</v>
      </c>
      <c r="D8" s="8">
        <v>9.9</v>
      </c>
      <c r="E8" s="9">
        <v>0.066</v>
      </c>
      <c r="F8" s="6">
        <v>4</v>
      </c>
      <c r="G8" s="9">
        <v>-0.13</v>
      </c>
      <c r="H8" s="9">
        <v>-0.04</v>
      </c>
      <c r="I8" s="9">
        <v>0.05</v>
      </c>
      <c r="J8" s="9">
        <v>0.11</v>
      </c>
      <c r="K8" s="9">
        <v>0.28</v>
      </c>
      <c r="L8" s="10" t="s">
        <v>29</v>
      </c>
    </row>
    <row r="9" spans="1:12" x14ac:dyDescent="0.25">
      <c r="A9" s="6">
        <v>4</v>
      </c>
      <c r="B9" s="7" t="s">
        <v>30</v>
      </c>
      <c r="C9" s="7" t="s">
        <v>31</v>
      </c>
      <c r="D9" s="8">
        <v>9</v>
      </c>
      <c r="E9" s="9">
        <v>0.06</v>
      </c>
      <c r="F9" s="6">
        <v>5</v>
      </c>
      <c r="G9" s="9">
        <v>0.06</v>
      </c>
      <c r="H9" s="9">
        <v>0.22</v>
      </c>
      <c r="I9" s="9">
        <v>0.38</v>
      </c>
      <c r="J9" s="9">
        <v>0.47</v>
      </c>
      <c r="K9" s="9">
        <v>0.77</v>
      </c>
      <c r="L9" s="10" t="s">
        <v>32</v>
      </c>
    </row>
    <row r="10" spans="1:12" x14ac:dyDescent="0.25">
      <c r="A10" s="6">
        <v>5</v>
      </c>
      <c r="B10" s="7" t="s">
        <v>33</v>
      </c>
      <c r="C10" s="7" t="s">
        <v>28</v>
      </c>
      <c r="D10" s="8">
        <v>8.4</v>
      </c>
      <c r="E10" s="9">
        <v>0.056</v>
      </c>
      <c r="F10" s="6">
        <v>6</v>
      </c>
      <c r="G10" s="9">
        <v>0.03</v>
      </c>
      <c r="H10" s="9">
        <v>0.08</v>
      </c>
      <c r="I10" s="9">
        <v>0.14</v>
      </c>
      <c r="J10" s="9">
        <v>0.26</v>
      </c>
      <c r="K10" s="9">
        <v>0.48</v>
      </c>
      <c r="L10" s="10" t="s">
        <v>32</v>
      </c>
    </row>
    <row r="11" spans="1:12" x14ac:dyDescent="0.25">
      <c r="A11" s="6">
        <v>6</v>
      </c>
      <c r="B11" s="7" t="s">
        <v>34</v>
      </c>
      <c r="C11" s="7" t="s">
        <v>35</v>
      </c>
      <c r="D11" s="8">
        <v>7.9</v>
      </c>
      <c r="E11" s="9">
        <v>0.05266666666666667</v>
      </c>
      <c r="F11" s="6">
        <v>5</v>
      </c>
      <c r="G11" s="9" t="s">
        <v>24</v>
      </c>
      <c r="H11" s="9" t="s">
        <v>24</v>
      </c>
      <c r="I11" s="9" t="s">
        <v>24</v>
      </c>
      <c r="J11" s="9">
        <v>0.27</v>
      </c>
      <c r="K11" s="9">
        <v>0.5</v>
      </c>
      <c r="L11" s="10" t="s">
        <v>24</v>
      </c>
    </row>
    <row r="12" spans="1:12" x14ac:dyDescent="0.25">
      <c r="A12" s="6">
        <v>7</v>
      </c>
      <c r="B12" s="7" t="s">
        <v>36</v>
      </c>
      <c r="C12" s="7" t="s">
        <v>31</v>
      </c>
      <c r="D12" s="8">
        <v>7.7</v>
      </c>
      <c r="E12" s="9">
        <v>0.051333333333333335</v>
      </c>
      <c r="F12" s="6">
        <v>4</v>
      </c>
      <c r="G12" s="9">
        <v>-0.09</v>
      </c>
      <c r="H12" s="9">
        <v>0.01</v>
      </c>
      <c r="I12" s="9">
        <v>0.12</v>
      </c>
      <c r="J12" s="9">
        <v>0.25</v>
      </c>
      <c r="K12" s="9">
        <v>0.55</v>
      </c>
      <c r="L12" s="10">
        <v>0.1</v>
      </c>
    </row>
    <row r="13" spans="1:12" x14ac:dyDescent="0.25">
      <c r="A13" s="6">
        <v>8</v>
      </c>
      <c r="B13" s="7" t="s">
        <v>37</v>
      </c>
      <c r="C13" s="7" t="s">
        <v>38</v>
      </c>
      <c r="D13" s="8">
        <v>6.9</v>
      </c>
      <c r="E13" s="9">
        <v>0.046</v>
      </c>
      <c r="F13" s="6">
        <v>3</v>
      </c>
      <c r="G13" s="9" t="s">
        <v>24</v>
      </c>
      <c r="H13" s="9" t="s">
        <v>24</v>
      </c>
      <c r="I13" s="9" t="s">
        <v>24</v>
      </c>
      <c r="J13" s="9">
        <v>0.3</v>
      </c>
      <c r="K13" s="9">
        <v>0.55</v>
      </c>
      <c r="L13" s="10" t="s">
        <v>24</v>
      </c>
    </row>
    <row r="14" spans="1:12" x14ac:dyDescent="0.25">
      <c r="A14" s="6">
        <v>9</v>
      </c>
      <c r="B14" s="7" t="s">
        <v>39</v>
      </c>
      <c r="C14" s="7" t="s">
        <v>40</v>
      </c>
      <c r="D14" s="8">
        <v>6.4</v>
      </c>
      <c r="E14" s="9">
        <v>0.04266666666666667</v>
      </c>
      <c r="F14" s="6">
        <v>4</v>
      </c>
      <c r="G14" s="9">
        <v>0.05</v>
      </c>
      <c r="H14" s="9">
        <v>0.31</v>
      </c>
      <c r="I14" s="9">
        <v>0.57</v>
      </c>
      <c r="J14" s="9">
        <v>0.41</v>
      </c>
      <c r="K14" s="9">
        <v>0.53</v>
      </c>
      <c r="L14" s="10" t="s">
        <v>32</v>
      </c>
    </row>
    <row r="15" spans="1:12" x14ac:dyDescent="0.25">
      <c r="A15" s="6">
        <v>10</v>
      </c>
      <c r="B15" s="7" t="s">
        <v>41</v>
      </c>
      <c r="C15" s="7" t="s">
        <v>28</v>
      </c>
      <c r="D15" s="8">
        <v>5.8</v>
      </c>
      <c r="E15" s="9">
        <v>0.03866666666666667</v>
      </c>
      <c r="F15" s="6">
        <v>5</v>
      </c>
      <c r="G15" s="9">
        <v>-0.05</v>
      </c>
      <c r="H15" s="9">
        <v>0.05</v>
      </c>
      <c r="I15" s="9">
        <v>0.14</v>
      </c>
      <c r="J15" s="9">
        <v>0.21</v>
      </c>
      <c r="K15" s="9">
        <v>0.4</v>
      </c>
      <c r="L15" s="10">
        <v>1</v>
      </c>
    </row>
    <row r="16" spans="1:12" x14ac:dyDescent="0.25">
      <c r="A16" s="6">
        <v>11</v>
      </c>
      <c r="B16" s="7" t="s">
        <v>42</v>
      </c>
      <c r="C16" s="7" t="s">
        <v>40</v>
      </c>
      <c r="D16" s="8">
        <v>5.8</v>
      </c>
      <c r="E16" s="9">
        <v>0.03866666666666667</v>
      </c>
      <c r="F16" s="6">
        <v>3</v>
      </c>
      <c r="G16" s="9">
        <v>0.01</v>
      </c>
      <c r="H16" s="9">
        <v>0.25</v>
      </c>
      <c r="I16" s="9">
        <v>0.49</v>
      </c>
      <c r="J16" s="9">
        <v>0.58</v>
      </c>
      <c r="K16" s="9">
        <v>0.99</v>
      </c>
      <c r="L16" s="10" t="s">
        <v>32</v>
      </c>
    </row>
    <row r="17" spans="1:12" x14ac:dyDescent="0.25">
      <c r="A17" s="6">
        <v>12</v>
      </c>
      <c r="B17" s="7" t="s">
        <v>43</v>
      </c>
      <c r="C17" s="7" t="s">
        <v>44</v>
      </c>
      <c r="D17" s="8">
        <v>4.5</v>
      </c>
      <c r="E17" s="9">
        <v>0.03</v>
      </c>
      <c r="F17" s="6">
        <v>4</v>
      </c>
      <c r="G17" s="9">
        <v>-0.04</v>
      </c>
      <c r="H17" s="9">
        <v>0.1</v>
      </c>
      <c r="I17" s="9">
        <v>0.25</v>
      </c>
      <c r="J17" s="9">
        <v>0.33</v>
      </c>
      <c r="K17" s="9">
        <v>0.6</v>
      </c>
      <c r="L17" s="10">
        <v>2.5</v>
      </c>
    </row>
    <row r="18" spans="1:12" x14ac:dyDescent="0.25">
      <c r="A18" s="6">
        <v>13</v>
      </c>
      <c r="B18" s="7" t="s">
        <v>45</v>
      </c>
      <c r="C18" s="7" t="s">
        <v>28</v>
      </c>
      <c r="D18" s="8">
        <v>4.5</v>
      </c>
      <c r="E18" s="9">
        <v>0.03</v>
      </c>
      <c r="F18" s="6">
        <v>2</v>
      </c>
      <c r="G18" s="9" t="s">
        <v>24</v>
      </c>
      <c r="H18" s="9">
        <v>0.41</v>
      </c>
      <c r="I18" s="9" t="s">
        <v>24</v>
      </c>
      <c r="J18" s="9" t="s">
        <v>24</v>
      </c>
      <c r="K18" s="9" t="s">
        <v>24</v>
      </c>
      <c r="L18" s="10" t="s">
        <v>24</v>
      </c>
    </row>
    <row r="19" spans="1:12" x14ac:dyDescent="0.25">
      <c r="A19" s="6">
        <v>14</v>
      </c>
      <c r="B19" s="7" t="s">
        <v>46</v>
      </c>
      <c r="C19" s="7" t="s">
        <v>47</v>
      </c>
      <c r="D19" s="8">
        <v>4.2</v>
      </c>
      <c r="E19" s="9">
        <v>0.028</v>
      </c>
      <c r="F19" s="6">
        <v>2</v>
      </c>
      <c r="G19" s="9" t="s">
        <v>24</v>
      </c>
      <c r="H19" s="9" t="s">
        <v>24</v>
      </c>
      <c r="I19" s="9" t="s">
        <v>24</v>
      </c>
      <c r="J19" s="9" t="s">
        <v>24</v>
      </c>
      <c r="K19" s="9" t="s">
        <v>24</v>
      </c>
      <c r="L19" s="10" t="s">
        <v>24</v>
      </c>
    </row>
    <row r="20" spans="1:12" x14ac:dyDescent="0.25">
      <c r="A20" s="6">
        <v>15</v>
      </c>
      <c r="B20" s="7" t="s">
        <v>48</v>
      </c>
      <c r="C20" s="7" t="s">
        <v>49</v>
      </c>
      <c r="D20" s="8">
        <v>4</v>
      </c>
      <c r="E20" s="9">
        <v>0.02666666666666667</v>
      </c>
      <c r="F20" s="6">
        <v>3</v>
      </c>
      <c r="G20" s="9">
        <v>0.15</v>
      </c>
      <c r="H20" s="9">
        <v>0.29</v>
      </c>
      <c r="I20" s="9">
        <v>0.44</v>
      </c>
      <c r="J20" s="9">
        <v>0.55</v>
      </c>
      <c r="K20" s="9">
        <v>0.86</v>
      </c>
      <c r="L20" s="10" t="s">
        <v>32</v>
      </c>
    </row>
    <row r="21" spans="1:12" x14ac:dyDescent="0.25">
      <c r="A21" s="6">
        <v>16</v>
      </c>
      <c r="B21" s="7" t="s">
        <v>50</v>
      </c>
      <c r="C21" s="7" t="s">
        <v>51</v>
      </c>
      <c r="D21" s="8">
        <v>3.8</v>
      </c>
      <c r="E21" s="9">
        <v>0.025333333333333333</v>
      </c>
      <c r="F21" s="6">
        <v>3</v>
      </c>
      <c r="G21" s="9">
        <v>-0.17</v>
      </c>
      <c r="H21" s="9">
        <v>0.13</v>
      </c>
      <c r="I21" s="9">
        <v>0.43</v>
      </c>
      <c r="J21" s="9">
        <v>0.27</v>
      </c>
      <c r="K21" s="9">
        <v>0.45</v>
      </c>
      <c r="L21" s="10">
        <v>0.8</v>
      </c>
    </row>
    <row r="22" spans="1:12" x14ac:dyDescent="0.25">
      <c r="A22" s="6">
        <v>17</v>
      </c>
      <c r="B22" s="7" t="s">
        <v>52</v>
      </c>
      <c r="C22" s="7" t="s">
        <v>40</v>
      </c>
      <c r="D22" s="8">
        <v>3.8</v>
      </c>
      <c r="E22" s="9">
        <v>0.025333333333333333</v>
      </c>
      <c r="F22" s="6">
        <v>2</v>
      </c>
      <c r="G22" s="9" t="s">
        <v>24</v>
      </c>
      <c r="H22" s="9" t="s">
        <v>24</v>
      </c>
      <c r="I22" s="9" t="s">
        <v>24</v>
      </c>
      <c r="J22" s="9" t="s">
        <v>24</v>
      </c>
      <c r="K22" s="9" t="s">
        <v>24</v>
      </c>
      <c r="L22" s="10" t="s">
        <v>24</v>
      </c>
    </row>
    <row r="23" spans="1:12" x14ac:dyDescent="0.25">
      <c r="A23" s="6">
        <v>18</v>
      </c>
      <c r="B23" s="7" t="s">
        <v>53</v>
      </c>
      <c r="C23" s="7" t="s">
        <v>38</v>
      </c>
      <c r="D23" s="8">
        <v>3.8</v>
      </c>
      <c r="E23" s="9">
        <v>0.025333333333333333</v>
      </c>
      <c r="F23" s="6">
        <v>1</v>
      </c>
      <c r="G23" s="9" t="s">
        <v>24</v>
      </c>
      <c r="H23" s="9">
        <v>0.33</v>
      </c>
      <c r="I23" s="9" t="s">
        <v>24</v>
      </c>
      <c r="J23" s="9" t="s">
        <v>24</v>
      </c>
      <c r="K23" s="9" t="s">
        <v>24</v>
      </c>
      <c r="L23" s="10" t="s">
        <v>24</v>
      </c>
    </row>
    <row r="24" spans="1:12" x14ac:dyDescent="0.25">
      <c r="A24" s="6">
        <v>19</v>
      </c>
      <c r="B24" s="7" t="s">
        <v>54</v>
      </c>
      <c r="C24" s="7" t="s">
        <v>49</v>
      </c>
      <c r="D24" s="8">
        <v>3.5</v>
      </c>
      <c r="E24" s="9">
        <v>0.023333333333333334</v>
      </c>
      <c r="F24" s="6">
        <v>4</v>
      </c>
      <c r="G24" s="9">
        <v>-0.01</v>
      </c>
      <c r="H24" s="9">
        <v>0.24</v>
      </c>
      <c r="I24" s="9">
        <v>0.48</v>
      </c>
      <c r="J24" s="9">
        <v>0.78</v>
      </c>
      <c r="K24" s="9">
        <v>1.39</v>
      </c>
      <c r="L24" s="10">
        <v>24</v>
      </c>
    </row>
    <row r="25" spans="1:12" x14ac:dyDescent="0.25">
      <c r="A25" s="6">
        <v>20</v>
      </c>
      <c r="B25" s="7" t="s">
        <v>55</v>
      </c>
      <c r="C25" s="7" t="s">
        <v>35</v>
      </c>
      <c r="D25" s="8">
        <v>3.5</v>
      </c>
      <c r="E25" s="9">
        <v>0.023333333333333334</v>
      </c>
      <c r="F25" s="6">
        <v>2</v>
      </c>
      <c r="G25" s="9" t="s">
        <v>24</v>
      </c>
      <c r="H25" s="9" t="s">
        <v>24</v>
      </c>
      <c r="I25" s="9" t="s">
        <v>24</v>
      </c>
      <c r="J25" s="9" t="s">
        <v>24</v>
      </c>
      <c r="K25" s="9" t="s">
        <v>24</v>
      </c>
      <c r="L25" s="10" t="s">
        <v>24</v>
      </c>
    </row>
    <row r="26" spans="1:12" x14ac:dyDescent="0.25">
      <c r="A26" s="6">
        <v>21</v>
      </c>
      <c r="B26" s="7" t="s">
        <v>56</v>
      </c>
      <c r="C26" s="7" t="s">
        <v>57</v>
      </c>
      <c r="D26" s="8">
        <v>3.2</v>
      </c>
      <c r="E26" s="9">
        <v>0.021333333333333336</v>
      </c>
      <c r="F26" s="6">
        <v>2</v>
      </c>
      <c r="G26" s="9">
        <v>-0.05</v>
      </c>
      <c r="H26" s="9">
        <v>0.14</v>
      </c>
      <c r="I26" s="9">
        <v>0.34</v>
      </c>
      <c r="J26" s="9">
        <v>0.38</v>
      </c>
      <c r="K26" s="9">
        <v>0.68</v>
      </c>
      <c r="L26" s="10">
        <v>2.8</v>
      </c>
    </row>
    <row r="27" spans="1:12" x14ac:dyDescent="0.25">
      <c r="A27" s="6">
        <v>22</v>
      </c>
      <c r="B27" s="7" t="s">
        <v>58</v>
      </c>
      <c r="C27" s="7" t="s">
        <v>59</v>
      </c>
      <c r="D27" s="8">
        <v>3.2</v>
      </c>
      <c r="E27" s="9">
        <v>0.021333333333333336</v>
      </c>
      <c r="F27" s="6">
        <v>1</v>
      </c>
      <c r="G27" s="9">
        <v>-0.04</v>
      </c>
      <c r="H27" s="9">
        <v>0.15</v>
      </c>
      <c r="I27" s="9">
        <v>0.41</v>
      </c>
      <c r="J27" s="9">
        <v>0.16</v>
      </c>
      <c r="K27" s="9">
        <v>0.25</v>
      </c>
      <c r="L27" s="10">
        <v>3.8</v>
      </c>
    </row>
    <row r="28" spans="1:12" x14ac:dyDescent="0.25">
      <c r="A28" s="6">
        <v>23</v>
      </c>
      <c r="B28" s="7" t="s">
        <v>60</v>
      </c>
      <c r="C28" s="7" t="s">
        <v>61</v>
      </c>
      <c r="D28" s="8">
        <v>2.6</v>
      </c>
      <c r="E28" s="9">
        <v>0.017333333333333333</v>
      </c>
      <c r="F28" s="6">
        <v>1</v>
      </c>
      <c r="G28" s="9">
        <v>0.1</v>
      </c>
      <c r="H28" s="9">
        <v>0.2</v>
      </c>
      <c r="I28" s="9">
        <v>0.3</v>
      </c>
      <c r="J28" s="9">
        <v>0.38</v>
      </c>
      <c r="K28" s="9">
        <v>0.6</v>
      </c>
      <c r="L28" s="10" t="s">
        <v>32</v>
      </c>
    </row>
    <row r="29" spans="1:12" x14ac:dyDescent="0.25">
      <c r="A29" s="6">
        <v>24</v>
      </c>
      <c r="B29" s="7" t="s">
        <v>62</v>
      </c>
      <c r="C29" s="7" t="s">
        <v>40</v>
      </c>
      <c r="D29" s="8">
        <v>1.9</v>
      </c>
      <c r="E29" s="9">
        <v>0.012666666666666666</v>
      </c>
      <c r="F29" s="6">
        <v>2</v>
      </c>
      <c r="G29" s="9">
        <v>-0.11</v>
      </c>
      <c r="H29" s="9">
        <v>0.01</v>
      </c>
      <c r="I29" s="9">
        <v>0.16</v>
      </c>
      <c r="J29" s="9">
        <v>0.29</v>
      </c>
      <c r="K29" s="9">
        <v>0.64</v>
      </c>
      <c r="L29" s="10">
        <v>0.1</v>
      </c>
    </row>
    <row r="30" spans="1:12" x14ac:dyDescent="0.25">
      <c r="A30" s="6">
        <v>25</v>
      </c>
      <c r="B30" s="7" t="s">
        <v>63</v>
      </c>
      <c r="C30" s="7" t="s">
        <v>51</v>
      </c>
      <c r="D30" s="8">
        <v>1.9</v>
      </c>
      <c r="E30" s="9">
        <v>0.012666666666666666</v>
      </c>
      <c r="F30" s="6">
        <v>1</v>
      </c>
      <c r="G30" s="9">
        <v>0.08</v>
      </c>
      <c r="H30" s="9">
        <v>0.52</v>
      </c>
      <c r="I30" s="9">
        <v>0.95</v>
      </c>
      <c r="J30" s="9">
        <v>0.74</v>
      </c>
      <c r="K30" s="9">
        <v>1.02</v>
      </c>
      <c r="L30" s="10" t="s">
        <v>32</v>
      </c>
    </row>
    <row r="31" spans="1:12" x14ac:dyDescent="0.25">
      <c r="A31" s="6">
        <v>26</v>
      </c>
      <c r="B31" s="7" t="s">
        <v>64</v>
      </c>
      <c r="C31" s="7" t="s">
        <v>65</v>
      </c>
      <c r="D31" s="8">
        <v>1.9</v>
      </c>
      <c r="E31" s="9">
        <v>0.012666666666666666</v>
      </c>
      <c r="F31" s="6">
        <v>1</v>
      </c>
      <c r="G31" s="9">
        <v>0.07</v>
      </c>
      <c r="H31" s="9">
        <v>0.38</v>
      </c>
      <c r="I31" s="9">
        <v>0.53</v>
      </c>
      <c r="J31" s="9">
        <v>0.6</v>
      </c>
      <c r="K31" s="9">
        <v>0.81</v>
      </c>
      <c r="L31" s="10" t="s">
        <v>32</v>
      </c>
    </row>
    <row r="32" spans="1:12" x14ac:dyDescent="0.25">
      <c r="A32" s="6">
        <v>27</v>
      </c>
      <c r="B32" s="7" t="s">
        <v>66</v>
      </c>
      <c r="C32" s="7" t="s">
        <v>67</v>
      </c>
      <c r="D32" s="8">
        <v>1.9</v>
      </c>
      <c r="E32" s="9">
        <v>0.012666666666666666</v>
      </c>
      <c r="F32" s="6">
        <v>1</v>
      </c>
      <c r="G32" s="9">
        <v>0.02</v>
      </c>
      <c r="H32" s="9">
        <v>0.24</v>
      </c>
      <c r="I32" s="9">
        <v>0.46</v>
      </c>
      <c r="J32" s="9">
        <v>0.4</v>
      </c>
      <c r="K32" s="9">
        <v>0.64</v>
      </c>
      <c r="L32" s="10" t="s">
        <v>32</v>
      </c>
    </row>
    <row r="33" spans="1:12" x14ac:dyDescent="0.25">
      <c r="A33" s="6">
        <v>28</v>
      </c>
      <c r="B33" s="7" t="s">
        <v>68</v>
      </c>
      <c r="C33" s="7" t="s">
        <v>28</v>
      </c>
      <c r="D33" s="8">
        <v>1.5</v>
      </c>
      <c r="E33" s="9">
        <v>0.01</v>
      </c>
      <c r="F33" s="6">
        <v>1</v>
      </c>
      <c r="G33" s="9">
        <v>-0.03</v>
      </c>
      <c r="H33" s="9">
        <v>0.12</v>
      </c>
      <c r="I33" s="9">
        <v>0.27</v>
      </c>
      <c r="J33" s="9">
        <v>0.28</v>
      </c>
      <c r="K33" s="9">
        <v>0.47</v>
      </c>
      <c r="L33" s="10">
        <v>4</v>
      </c>
    </row>
    <row r="34" spans="1:12" x14ac:dyDescent="0.25">
      <c r="A34" s="6">
        <v>29</v>
      </c>
      <c r="B34" s="7" t="s">
        <v>69</v>
      </c>
      <c r="C34" s="7" t="s">
        <v>28</v>
      </c>
      <c r="D34" s="8">
        <v>1.5</v>
      </c>
      <c r="E34" s="9">
        <v>0.01</v>
      </c>
      <c r="F34" s="6">
        <v>1</v>
      </c>
      <c r="G34" s="9">
        <v>-0.09</v>
      </c>
      <c r="H34" s="9">
        <v>0.13</v>
      </c>
      <c r="I34" s="9">
        <v>0.35</v>
      </c>
      <c r="J34" s="9">
        <v>0.22</v>
      </c>
      <c r="K34" s="9">
        <v>0.28</v>
      </c>
      <c r="L34" s="10">
        <v>1.4</v>
      </c>
    </row>
    <row r="35" spans="1:12" x14ac:dyDescent="0.25">
      <c r="A35" s="6">
        <v>30</v>
      </c>
      <c r="B35" s="7" t="s">
        <v>70</v>
      </c>
      <c r="C35" s="7" t="s">
        <v>71</v>
      </c>
      <c r="D35" s="8">
        <v>1.3</v>
      </c>
      <c r="E35" s="9">
        <v>0.008666666666666666</v>
      </c>
      <c r="F35" s="6">
        <v>1</v>
      </c>
      <c r="G35" s="9" t="s">
        <v>24</v>
      </c>
      <c r="H35" s="9" t="s">
        <v>24</v>
      </c>
      <c r="I35" s="9" t="s">
        <v>24</v>
      </c>
      <c r="J35" s="9" t="s">
        <v>24</v>
      </c>
      <c r="K35" s="9" t="s">
        <v>24</v>
      </c>
      <c r="L35" s="10" t="s">
        <v>24</v>
      </c>
    </row>
    <row r="36" spans="1:12" x14ac:dyDescent="0.25">
      <c r="A36" s="6">
        <v>31</v>
      </c>
      <c r="B36" s="7" t="s">
        <v>72</v>
      </c>
      <c r="C36" s="7" t="s">
        <v>28</v>
      </c>
      <c r="D36" s="8">
        <v>1.3</v>
      </c>
      <c r="E36" s="9">
        <v>0.008666666666666666</v>
      </c>
      <c r="F36" s="6">
        <v>1</v>
      </c>
      <c r="G36" s="9">
        <v>-0.05</v>
      </c>
      <c r="H36" s="9">
        <v>0.17</v>
      </c>
      <c r="I36" s="9">
        <v>0.39</v>
      </c>
      <c r="J36" s="9">
        <v>0.37</v>
      </c>
      <c r="K36" s="9">
        <v>0.92</v>
      </c>
      <c r="L36" s="10">
        <v>3.4</v>
      </c>
    </row>
    <row r="37" spans="1:12" x14ac:dyDescent="0.25">
      <c r="A37" s="6">
        <v>32</v>
      </c>
      <c r="B37" s="7" t="s">
        <v>73</v>
      </c>
      <c r="C37" s="7" t="s">
        <v>51</v>
      </c>
      <c r="D37" s="8">
        <v>1.3</v>
      </c>
      <c r="E37" s="9">
        <v>0.008666666666666666</v>
      </c>
      <c r="F37" s="6">
        <v>1</v>
      </c>
      <c r="G37" s="9">
        <v>0.13</v>
      </c>
      <c r="H37" s="9">
        <v>0.29</v>
      </c>
      <c r="I37" s="9">
        <v>0.46</v>
      </c>
      <c r="J37" s="9">
        <v>0.49</v>
      </c>
      <c r="K37" s="9">
        <v>0.68</v>
      </c>
      <c r="L37" s="10" t="s">
        <v>32</v>
      </c>
    </row>
    <row r="38" spans="1:12" x14ac:dyDescent="0.25">
      <c r="A38" s="6">
        <v>33</v>
      </c>
      <c r="B38" s="7" t="s">
        <v>74</v>
      </c>
      <c r="C38" s="7" t="s">
        <v>40</v>
      </c>
      <c r="D38" s="8">
        <v>1.2</v>
      </c>
      <c r="E38" s="9">
        <v>0.008</v>
      </c>
      <c r="F38" s="6">
        <v>1</v>
      </c>
      <c r="G38" s="9">
        <v>0.09</v>
      </c>
      <c r="H38" s="9">
        <v>0.23</v>
      </c>
      <c r="I38" s="9">
        <v>0.38</v>
      </c>
      <c r="J38" s="9">
        <v>0.45</v>
      </c>
      <c r="K38" s="9">
        <v>0.77</v>
      </c>
      <c r="L38" s="10" t="s">
        <v>32</v>
      </c>
    </row>
    <row r="39" spans="1:12" x14ac:dyDescent="0.25">
      <c r="A39" s="11"/>
      <c r="B39" s="12" t="s">
        <v>75</v>
      </c>
      <c r="C39" s="11"/>
      <c r="D39" s="13">
        <v>150</v>
      </c>
      <c r="E39" s="14">
        <v>1</v>
      </c>
      <c r="F39" s="11"/>
      <c r="G39" s="11"/>
      <c r="H39" s="14">
        <v>0.1721486928104575</v>
      </c>
      <c r="I39" s="11"/>
      <c r="J39" s="14">
        <v>0.35754848719937926</v>
      </c>
      <c r="K39" s="11"/>
      <c r="L39" s="11"/>
    </row>
    <row r="41" ht="30" customHeight="1" spans="1:12" x14ac:dyDescent="0.25">
      <c r="A41" s="15" t="s">
        <v>76</v>
      </c>
      <c r="B41" s="15"/>
      <c r="C41" s="15"/>
      <c r="D41" s="15"/>
      <c r="E41" s="15"/>
      <c r="F41" s="15"/>
      <c r="G41" s="15"/>
      <c r="H41" s="15"/>
      <c r="I41" s="15"/>
      <c r="J41" s="15"/>
      <c r="K41" s="15"/>
      <c r="L41" s="15"/>
    </row>
  </sheetData>
  <mergeCells count="11">
    <mergeCell ref="A1:L1"/>
    <mergeCell ref="A2:C2"/>
    <mergeCell ref="D2:F2"/>
    <mergeCell ref="G2:I2"/>
    <mergeCell ref="J2:L2"/>
    <mergeCell ref="A3:C3"/>
    <mergeCell ref="D3:F3"/>
    <mergeCell ref="G3:I3"/>
    <mergeCell ref="J3:L3"/>
    <mergeCell ref="A4:L4"/>
    <mergeCell ref="A41:L41"/>
  </mergeCells>
  <conditionalFormatting sqref="D6:D38">
    <cfRule type="dataBar" priority="1">
      <dataBar>
        <cfvo type="min"/>
        <cfvo type="max"/>
        <color rgb="FF5B9BD5"/>
      </dataBar>
      <extLst>
        <ext xmlns:x14="http://schemas.microsoft.com/office/spreadsheetml/2009/9/main" uri="{B025F937-C7B1-47D3-B67F-A62EFF666E3E}">
          <x14:id>{0BD6256E-6C1F-4BC6-9ECE-79E83B4552AD}</x14:id>
        </ext>
      </extLst>
    </cfRule>
  </conditionalFormatting>
  <conditionalFormatting sqref="F6:F38">
    <cfRule type="colorScale" priority="2">
      <colorScale>
        <cfvo type="num" val="1"/>
        <cfvo type="num" val="9"/>
        <color rgb="FFFFFFFF"/>
        <color rgb="FF63BE7B"/>
      </colorScale>
    </cfRule>
  </conditionalFormatting>
  <conditionalFormatting sqref="G6:G38">
    <cfRule type="colorScale" priority="3">
      <colorScale>
        <cfvo type="num" val="-0.1"/>
        <cfvo type="num" val="0.05"/>
        <cfvo type="num" val="0.25"/>
        <color rgb="FFF8696B"/>
        <color rgb="FFFFEB84"/>
        <color rgb="FF63BE7B"/>
      </colorScale>
    </cfRule>
  </conditionalFormatting>
  <conditionalFormatting sqref="H6:H38">
    <cfRule type="colorScale" priority="4">
      <colorScale>
        <cfvo type="num" val="-0.05"/>
        <cfvo type="num" val="0.15"/>
        <cfvo type="num" val="0.4"/>
        <color rgb="FFF8696B"/>
        <color rgb="FFFFEB84"/>
        <color rgb="FF63BE7B"/>
      </colorScale>
    </cfRule>
    <cfRule type="cellIs" dxfId="0" priority="5" operator="lessThan">
      <formula>0</formula>
    </cfRule>
  </conditionalFormatting>
  <conditionalFormatting sqref="I6:I38">
    <cfRule type="colorScale" priority="6">
      <colorScale>
        <cfvo type="num" val="0"/>
        <cfvo type="num" val="0.25"/>
        <cfvo type="num" val="0.6"/>
        <color rgb="FFF8696B"/>
        <color rgb="FFFFEB84"/>
        <color rgb="FF63BE7B"/>
      </colorScale>
    </cfRule>
  </conditionalFormatting>
  <conditionalFormatting sqref="J6:J38">
    <cfRule type="colorScale" priority="7">
      <colorScale>
        <cfvo type="num" val="0"/>
        <cfvo type="num" val="0.3"/>
        <cfvo type="num" val="0.7"/>
        <color rgb="FFF8696B"/>
        <color rgb="FFFFEB84"/>
        <color rgb="FF63BE7B"/>
      </colorScale>
    </cfRule>
  </conditionalFormatting>
  <conditionalFormatting sqref="K6:K38">
    <cfRule type="colorScale" priority="8">
      <colorScale>
        <cfvo type="num" val="0"/>
        <cfvo type="num" val="0.4"/>
        <cfvo type="num" val="1"/>
        <color rgb="FFF8696B"/>
        <color rgb="FFFFEB84"/>
        <color rgb="FF63BE7B"/>
      </colorScale>
    </cfRule>
  </conditionalFormatting>
  <conditionalFormatting sqref="L6:L38">
    <cfRule type="colorScale" priority="9">
      <colorScale>
        <cfvo type="num" val="0.5"/>
        <cfvo type="num" val="1.5"/>
        <cfvo type="num" val="3"/>
        <color rgb="FFF8696B"/>
        <color rgb="FFFFEB84"/>
        <color rgb="FF63BE7B"/>
      </colorScale>
    </cfRule>
  </conditionalFormatting>
  <pageMargins left="0.7" right="0.7" top="0.75" bottom="0.75" header="0.3" footer="0.3"/>
  <pageSetup orientation="portrait" horizontalDpi="4294967295" verticalDpi="4294967295" scale="100" fitToWidth="1" fitToHeight="1"/>
  <extLst>
    <ext xmlns:x14="http://schemas.microsoft.com/office/spreadsheetml/2009/9/main" uri="{78C0D931-6437-407d-A8EE-F0AAD7539E65}">
      <x14:conditionalFormattings>
        <x14:conditionalFormatting xmlns:xm="http://schemas.microsoft.com/office/excel/2006/main">
          <x14:cfRule type="dataBar" id="{0BD6256E-6C1F-4BC6-9ECE-79E83B4552AD}">
            <x14:dataBar minLength="0" maxLength="100" gradient="0">
              <x14:cfvo type="min"/>
              <x14:cfvo type="max"/>
            </x14:dataBar>
          </x14:cfRule>
          <xm:sqref>D6:D38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38" customWidth="1"/>
    <col min="3" max="3" width="22" customWidth="1"/>
    <col min="4" max="4" width="24" customWidth="1"/>
    <col min="5" max="5" width="22" customWidth="1"/>
    <col min="6" max="6" width="10" customWidth="1"/>
    <col min="7" max="7" width="46" customWidth="1"/>
  </cols>
  <sheetData>
    <row r="1" ht="26" customHeight="1" spans="1:7" x14ac:dyDescent="0.25">
      <c r="A1" s="16" t="s">
        <v>77</v>
      </c>
      <c r="B1" s="16"/>
      <c r="C1" s="16"/>
      <c r="D1" s="16"/>
      <c r="E1" s="16"/>
      <c r="F1" s="16"/>
      <c r="G1" s="16"/>
    </row>
    <row r="2" ht="30" customHeight="1" spans="1:7" x14ac:dyDescent="0.25">
      <c r="A2" s="17" t="s">
        <v>78</v>
      </c>
      <c r="B2" s="17" t="s">
        <v>79</v>
      </c>
      <c r="C2" s="17" t="s">
        <v>80</v>
      </c>
      <c r="D2" s="17" t="s">
        <v>81</v>
      </c>
      <c r="E2" s="17" t="s">
        <v>82</v>
      </c>
      <c r="F2" s="17" t="s">
        <v>83</v>
      </c>
      <c r="G2" s="17" t="s">
        <v>84</v>
      </c>
    </row>
    <row r="3" spans="1:7" x14ac:dyDescent="0.25">
      <c r="A3" s="18" t="s">
        <v>85</v>
      </c>
      <c r="B3" s="18" t="s">
        <v>86</v>
      </c>
      <c r="C3" s="18" t="s">
        <v>22</v>
      </c>
      <c r="D3" s="18" t="s">
        <v>22</v>
      </c>
      <c r="E3" s="18" t="s">
        <v>23</v>
      </c>
      <c r="F3" s="19">
        <v>30</v>
      </c>
      <c r="G3" s="18" t="s">
        <v>24</v>
      </c>
    </row>
    <row r="4" spans="1:7" x14ac:dyDescent="0.25">
      <c r="A4" s="20" t="s">
        <v>85</v>
      </c>
      <c r="B4" s="20" t="s">
        <v>86</v>
      </c>
      <c r="C4" s="20" t="s">
        <v>53</v>
      </c>
      <c r="D4" s="20" t="s">
        <v>53</v>
      </c>
      <c r="E4" s="20" t="s">
        <v>38</v>
      </c>
      <c r="F4" s="21">
        <v>30</v>
      </c>
      <c r="G4" s="20" t="s">
        <v>24</v>
      </c>
    </row>
    <row r="5" spans="1:7" x14ac:dyDescent="0.25">
      <c r="A5" s="18" t="s">
        <v>85</v>
      </c>
      <c r="B5" s="18" t="s">
        <v>86</v>
      </c>
      <c r="C5" s="18" t="s">
        <v>45</v>
      </c>
      <c r="D5" s="18" t="s">
        <v>45</v>
      </c>
      <c r="E5" s="18" t="s">
        <v>28</v>
      </c>
      <c r="F5" s="19">
        <v>20</v>
      </c>
      <c r="G5" s="18" t="s">
        <v>24</v>
      </c>
    </row>
    <row r="6" spans="1:7" x14ac:dyDescent="0.25">
      <c r="A6" s="20" t="s">
        <v>85</v>
      </c>
      <c r="B6" s="20" t="s">
        <v>86</v>
      </c>
      <c r="C6" s="20" t="s">
        <v>63</v>
      </c>
      <c r="D6" s="20" t="s">
        <v>63</v>
      </c>
      <c r="E6" s="20" t="s">
        <v>51</v>
      </c>
      <c r="F6" s="21">
        <v>15</v>
      </c>
      <c r="G6" s="20" t="s">
        <v>24</v>
      </c>
    </row>
    <row r="7" spans="1:7" x14ac:dyDescent="0.25">
      <c r="A7" s="18" t="s">
        <v>85</v>
      </c>
      <c r="B7" s="18" t="s">
        <v>86</v>
      </c>
      <c r="C7" s="18" t="s">
        <v>64</v>
      </c>
      <c r="D7" s="18" t="s">
        <v>64</v>
      </c>
      <c r="E7" s="18" t="s">
        <v>65</v>
      </c>
      <c r="F7" s="19">
        <v>15</v>
      </c>
      <c r="G7" s="18" t="s">
        <v>24</v>
      </c>
    </row>
    <row r="8" spans="1:7" x14ac:dyDescent="0.25">
      <c r="A8" s="20" t="s">
        <v>85</v>
      </c>
      <c r="B8" s="20" t="s">
        <v>86</v>
      </c>
      <c r="C8" s="20" t="s">
        <v>87</v>
      </c>
      <c r="D8" s="20" t="s">
        <v>56</v>
      </c>
      <c r="E8" s="20" t="s">
        <v>57</v>
      </c>
      <c r="F8" s="21">
        <v>15</v>
      </c>
      <c r="G8" s="20" t="s">
        <v>24</v>
      </c>
    </row>
    <row r="9" spans="1:7" x14ac:dyDescent="0.25">
      <c r="A9" s="18" t="s">
        <v>85</v>
      </c>
      <c r="B9" s="18" t="s">
        <v>86</v>
      </c>
      <c r="C9" s="18" t="s">
        <v>25</v>
      </c>
      <c r="D9" s="18" t="s">
        <v>25</v>
      </c>
      <c r="E9" s="18" t="s">
        <v>26</v>
      </c>
      <c r="F9" s="19">
        <v>15</v>
      </c>
      <c r="G9" s="18" t="s">
        <v>24</v>
      </c>
    </row>
    <row r="10" spans="1:7" x14ac:dyDescent="0.25">
      <c r="A10" s="20" t="s">
        <v>85</v>
      </c>
      <c r="B10" s="20" t="s">
        <v>86</v>
      </c>
      <c r="C10" s="20" t="s">
        <v>88</v>
      </c>
      <c r="D10" s="20" t="s">
        <v>43</v>
      </c>
      <c r="E10" s="20" t="s">
        <v>44</v>
      </c>
      <c r="F10" s="21">
        <v>10</v>
      </c>
      <c r="G10" s="20" t="s">
        <v>24</v>
      </c>
    </row>
    <row r="11" spans="1:7" x14ac:dyDescent="0.25">
      <c r="A11" s="18" t="s">
        <v>89</v>
      </c>
      <c r="B11" s="18" t="s">
        <v>90</v>
      </c>
      <c r="C11" s="18" t="s">
        <v>54</v>
      </c>
      <c r="D11" s="18" t="s">
        <v>54</v>
      </c>
      <c r="E11" s="18" t="s">
        <v>49</v>
      </c>
      <c r="F11" s="19">
        <v>10</v>
      </c>
      <c r="G11" s="18" t="s">
        <v>24</v>
      </c>
    </row>
    <row r="12" spans="1:7" x14ac:dyDescent="0.25">
      <c r="A12" s="20" t="s">
        <v>89</v>
      </c>
      <c r="B12" s="20" t="s">
        <v>90</v>
      </c>
      <c r="C12" s="20" t="s">
        <v>48</v>
      </c>
      <c r="D12" s="20" t="s">
        <v>48</v>
      </c>
      <c r="E12" s="20" t="s">
        <v>49</v>
      </c>
      <c r="F12" s="21">
        <v>11.5</v>
      </c>
      <c r="G12" s="20" t="s">
        <v>24</v>
      </c>
    </row>
    <row r="13" spans="1:7" x14ac:dyDescent="0.25">
      <c r="A13" s="18" t="s">
        <v>89</v>
      </c>
      <c r="B13" s="18" t="s">
        <v>90</v>
      </c>
      <c r="C13" s="18" t="s">
        <v>22</v>
      </c>
      <c r="D13" s="18" t="s">
        <v>22</v>
      </c>
      <c r="E13" s="18" t="s">
        <v>23</v>
      </c>
      <c r="F13" s="19">
        <v>25</v>
      </c>
      <c r="G13" s="18" t="s">
        <v>24</v>
      </c>
    </row>
    <row r="14" spans="1:7" x14ac:dyDescent="0.25">
      <c r="A14" s="20" t="s">
        <v>89</v>
      </c>
      <c r="B14" s="20" t="s">
        <v>90</v>
      </c>
      <c r="C14" s="20" t="s">
        <v>91</v>
      </c>
      <c r="D14" s="20" t="s">
        <v>73</v>
      </c>
      <c r="E14" s="20" t="s">
        <v>51</v>
      </c>
      <c r="F14" s="21">
        <v>10</v>
      </c>
      <c r="G14" s="20" t="s">
        <v>24</v>
      </c>
    </row>
    <row r="15" spans="1:7" x14ac:dyDescent="0.25">
      <c r="A15" s="18" t="s">
        <v>89</v>
      </c>
      <c r="B15" s="18" t="s">
        <v>90</v>
      </c>
      <c r="C15" s="18" t="s">
        <v>30</v>
      </c>
      <c r="D15" s="18" t="s">
        <v>30</v>
      </c>
      <c r="E15" s="18" t="s">
        <v>31</v>
      </c>
      <c r="F15" s="19">
        <v>5</v>
      </c>
      <c r="G15" s="18" t="s">
        <v>24</v>
      </c>
    </row>
    <row r="16" spans="1:7" x14ac:dyDescent="0.25">
      <c r="A16" s="20" t="s">
        <v>89</v>
      </c>
      <c r="B16" s="20" t="s">
        <v>90</v>
      </c>
      <c r="C16" s="20" t="s">
        <v>52</v>
      </c>
      <c r="D16" s="20" t="s">
        <v>52</v>
      </c>
      <c r="E16" s="20" t="s">
        <v>40</v>
      </c>
      <c r="F16" s="21">
        <v>10</v>
      </c>
      <c r="G16" s="20" t="s">
        <v>24</v>
      </c>
    </row>
    <row r="17" spans="1:7" x14ac:dyDescent="0.25">
      <c r="A17" s="18" t="s">
        <v>89</v>
      </c>
      <c r="B17" s="18" t="s">
        <v>90</v>
      </c>
      <c r="C17" s="18" t="s">
        <v>46</v>
      </c>
      <c r="D17" s="18" t="s">
        <v>46</v>
      </c>
      <c r="E17" s="18" t="s">
        <v>47</v>
      </c>
      <c r="F17" s="19">
        <v>23</v>
      </c>
      <c r="G17" s="18" t="s">
        <v>24</v>
      </c>
    </row>
    <row r="18" spans="1:7" x14ac:dyDescent="0.25">
      <c r="A18" s="20" t="s">
        <v>89</v>
      </c>
      <c r="B18" s="20" t="s">
        <v>90</v>
      </c>
      <c r="C18" s="20" t="s">
        <v>33</v>
      </c>
      <c r="D18" s="20" t="s">
        <v>33</v>
      </c>
      <c r="E18" s="20" t="s">
        <v>28</v>
      </c>
      <c r="F18" s="21">
        <v>12</v>
      </c>
      <c r="G18" s="20" t="s">
        <v>24</v>
      </c>
    </row>
    <row r="19" spans="1:7" x14ac:dyDescent="0.25">
      <c r="A19" s="18" t="s">
        <v>89</v>
      </c>
      <c r="B19" s="18" t="s">
        <v>90</v>
      </c>
      <c r="C19" s="18" t="s">
        <v>41</v>
      </c>
      <c r="D19" s="18" t="s">
        <v>41</v>
      </c>
      <c r="E19" s="18" t="s">
        <v>28</v>
      </c>
      <c r="F19" s="19">
        <v>12</v>
      </c>
      <c r="G19" s="18" t="s">
        <v>24</v>
      </c>
    </row>
    <row r="20" spans="1:7" x14ac:dyDescent="0.25">
      <c r="A20" s="20" t="s">
        <v>89</v>
      </c>
      <c r="B20" s="20" t="s">
        <v>90</v>
      </c>
      <c r="C20" s="20" t="s">
        <v>52</v>
      </c>
      <c r="D20" s="20" t="s">
        <v>52</v>
      </c>
      <c r="E20" s="20" t="s">
        <v>40</v>
      </c>
      <c r="F20" s="21">
        <v>10</v>
      </c>
      <c r="G20" s="20" t="s">
        <v>92</v>
      </c>
    </row>
    <row r="21" spans="1:7" x14ac:dyDescent="0.25">
      <c r="A21" s="18" t="s">
        <v>89</v>
      </c>
      <c r="B21" s="18" t="s">
        <v>90</v>
      </c>
      <c r="C21" s="18" t="s">
        <v>93</v>
      </c>
      <c r="D21" s="18" t="s">
        <v>34</v>
      </c>
      <c r="E21" s="18" t="s">
        <v>35</v>
      </c>
      <c r="F21" s="19">
        <v>7</v>
      </c>
      <c r="G21" s="18" t="s">
        <v>24</v>
      </c>
    </row>
    <row r="22" spans="1:7" x14ac:dyDescent="0.25">
      <c r="A22" s="20" t="s">
        <v>89</v>
      </c>
      <c r="B22" s="20" t="s">
        <v>90</v>
      </c>
      <c r="C22" s="20" t="s">
        <v>94</v>
      </c>
      <c r="D22" s="20" t="s">
        <v>55</v>
      </c>
      <c r="E22" s="20" t="s">
        <v>35</v>
      </c>
      <c r="F22" s="21">
        <v>7</v>
      </c>
      <c r="G22" s="20" t="s">
        <v>24</v>
      </c>
    </row>
    <row r="23" spans="1:7" x14ac:dyDescent="0.25">
      <c r="A23" s="18" t="s">
        <v>89</v>
      </c>
      <c r="B23" s="18" t="s">
        <v>90</v>
      </c>
      <c r="C23" s="18" t="s">
        <v>25</v>
      </c>
      <c r="D23" s="18" t="s">
        <v>25</v>
      </c>
      <c r="E23" s="18" t="s">
        <v>26</v>
      </c>
      <c r="F23" s="19">
        <v>7.5</v>
      </c>
      <c r="G23" s="18" t="s">
        <v>24</v>
      </c>
    </row>
    <row r="24" spans="1:7" x14ac:dyDescent="0.25">
      <c r="A24" s="20" t="s">
        <v>95</v>
      </c>
      <c r="B24" s="20" t="s">
        <v>96</v>
      </c>
      <c r="C24" s="20" t="s">
        <v>97</v>
      </c>
      <c r="D24" s="20" t="s">
        <v>68</v>
      </c>
      <c r="E24" s="20" t="s">
        <v>28</v>
      </c>
      <c r="F24" s="21">
        <v>12</v>
      </c>
      <c r="G24" s="20" t="s">
        <v>24</v>
      </c>
    </row>
    <row r="25" spans="1:7" x14ac:dyDescent="0.25">
      <c r="A25" s="18" t="s">
        <v>95</v>
      </c>
      <c r="B25" s="18" t="s">
        <v>96</v>
      </c>
      <c r="C25" s="18" t="s">
        <v>98</v>
      </c>
      <c r="D25" s="18" t="s">
        <v>69</v>
      </c>
      <c r="E25" s="18" t="s">
        <v>28</v>
      </c>
      <c r="F25" s="19">
        <v>12</v>
      </c>
      <c r="G25" s="18" t="s">
        <v>24</v>
      </c>
    </row>
    <row r="26" spans="1:7" x14ac:dyDescent="0.25">
      <c r="A26" s="20" t="s">
        <v>95</v>
      </c>
      <c r="B26" s="20" t="s">
        <v>96</v>
      </c>
      <c r="C26" s="20" t="s">
        <v>27</v>
      </c>
      <c r="D26" s="20" t="s">
        <v>27</v>
      </c>
      <c r="E26" s="20" t="s">
        <v>28</v>
      </c>
      <c r="F26" s="21">
        <v>12</v>
      </c>
      <c r="G26" s="20" t="s">
        <v>24</v>
      </c>
    </row>
    <row r="27" spans="1:7" x14ac:dyDescent="0.25">
      <c r="A27" s="18" t="s">
        <v>95</v>
      </c>
      <c r="B27" s="18" t="s">
        <v>96</v>
      </c>
      <c r="C27" s="18" t="s">
        <v>99</v>
      </c>
      <c r="D27" s="18" t="s">
        <v>41</v>
      </c>
      <c r="E27" s="18" t="s">
        <v>28</v>
      </c>
      <c r="F27" s="19">
        <v>12.5</v>
      </c>
      <c r="G27" s="18" t="s">
        <v>24</v>
      </c>
    </row>
    <row r="28" spans="1:7" x14ac:dyDescent="0.25">
      <c r="A28" s="20" t="s">
        <v>95</v>
      </c>
      <c r="B28" s="20" t="s">
        <v>96</v>
      </c>
      <c r="C28" s="20" t="s">
        <v>100</v>
      </c>
      <c r="D28" s="20" t="s">
        <v>33</v>
      </c>
      <c r="E28" s="20" t="s">
        <v>28</v>
      </c>
      <c r="F28" s="21">
        <v>12.5</v>
      </c>
      <c r="G28" s="20" t="s">
        <v>24</v>
      </c>
    </row>
    <row r="29" spans="1:7" x14ac:dyDescent="0.25">
      <c r="A29" s="18" t="s">
        <v>95</v>
      </c>
      <c r="B29" s="18" t="s">
        <v>96</v>
      </c>
      <c r="C29" s="18" t="s">
        <v>36</v>
      </c>
      <c r="D29" s="18" t="s">
        <v>36</v>
      </c>
      <c r="E29" s="18" t="s">
        <v>31</v>
      </c>
      <c r="F29" s="19">
        <v>20</v>
      </c>
      <c r="G29" s="18" t="s">
        <v>24</v>
      </c>
    </row>
    <row r="30" spans="1:7" x14ac:dyDescent="0.25">
      <c r="A30" s="20" t="s">
        <v>95</v>
      </c>
      <c r="B30" s="20" t="s">
        <v>96</v>
      </c>
      <c r="C30" s="20" t="s">
        <v>39</v>
      </c>
      <c r="D30" s="20" t="s">
        <v>39</v>
      </c>
      <c r="E30" s="20" t="s">
        <v>40</v>
      </c>
      <c r="F30" s="21">
        <v>10</v>
      </c>
      <c r="G30" s="20" t="s">
        <v>24</v>
      </c>
    </row>
    <row r="31" spans="1:7" x14ac:dyDescent="0.25">
      <c r="A31" s="18" t="s">
        <v>95</v>
      </c>
      <c r="B31" s="18" t="s">
        <v>96</v>
      </c>
      <c r="C31" s="18" t="s">
        <v>25</v>
      </c>
      <c r="D31" s="18" t="s">
        <v>25</v>
      </c>
      <c r="E31" s="18" t="s">
        <v>26</v>
      </c>
      <c r="F31" s="19">
        <v>15</v>
      </c>
      <c r="G31" s="18" t="s">
        <v>24</v>
      </c>
    </row>
    <row r="32" spans="1:7" x14ac:dyDescent="0.25">
      <c r="A32" s="20" t="s">
        <v>95</v>
      </c>
      <c r="B32" s="20" t="s">
        <v>96</v>
      </c>
      <c r="C32" s="20" t="s">
        <v>43</v>
      </c>
      <c r="D32" s="20" t="s">
        <v>43</v>
      </c>
      <c r="E32" s="20" t="s">
        <v>44</v>
      </c>
      <c r="F32" s="21">
        <v>10</v>
      </c>
      <c r="G32" s="20" t="s">
        <v>24</v>
      </c>
    </row>
    <row r="33" spans="1:7" x14ac:dyDescent="0.25">
      <c r="A33" s="18" t="s">
        <v>95</v>
      </c>
      <c r="B33" s="18" t="s">
        <v>96</v>
      </c>
      <c r="C33" s="18" t="s">
        <v>70</v>
      </c>
      <c r="D33" s="18" t="s">
        <v>70</v>
      </c>
      <c r="E33" s="18" t="s">
        <v>71</v>
      </c>
      <c r="F33" s="19">
        <v>10</v>
      </c>
      <c r="G33" s="18" t="s">
        <v>24</v>
      </c>
    </row>
    <row r="34" spans="1:7" x14ac:dyDescent="0.25">
      <c r="A34" s="20" t="s">
        <v>95</v>
      </c>
      <c r="B34" s="20" t="s">
        <v>96</v>
      </c>
      <c r="C34" s="20" t="s">
        <v>93</v>
      </c>
      <c r="D34" s="20" t="s">
        <v>34</v>
      </c>
      <c r="E34" s="20" t="s">
        <v>35</v>
      </c>
      <c r="F34" s="21">
        <v>12</v>
      </c>
      <c r="G34" s="20" t="s">
        <v>24</v>
      </c>
    </row>
    <row r="35" spans="1:7" x14ac:dyDescent="0.25">
      <c r="A35" s="18" t="s">
        <v>95</v>
      </c>
      <c r="B35" s="18" t="s">
        <v>96</v>
      </c>
      <c r="C35" s="18" t="s">
        <v>50</v>
      </c>
      <c r="D35" s="18" t="s">
        <v>50</v>
      </c>
      <c r="E35" s="18" t="s">
        <v>51</v>
      </c>
      <c r="F35" s="19">
        <v>12</v>
      </c>
      <c r="G35" s="18" t="s">
        <v>24</v>
      </c>
    </row>
    <row r="36" spans="1:7" x14ac:dyDescent="0.25">
      <c r="A36" s="20" t="s">
        <v>101</v>
      </c>
      <c r="B36" s="20" t="s">
        <v>102</v>
      </c>
      <c r="C36" s="20" t="s">
        <v>27</v>
      </c>
      <c r="D36" s="20" t="s">
        <v>27</v>
      </c>
      <c r="E36" s="20" t="s">
        <v>28</v>
      </c>
      <c r="F36" s="21">
        <v>20</v>
      </c>
      <c r="G36" s="20" t="s">
        <v>24</v>
      </c>
    </row>
    <row r="37" spans="1:7" x14ac:dyDescent="0.25">
      <c r="A37" s="18" t="s">
        <v>101</v>
      </c>
      <c r="B37" s="18" t="s">
        <v>102</v>
      </c>
      <c r="C37" s="18" t="s">
        <v>60</v>
      </c>
      <c r="D37" s="18" t="s">
        <v>60</v>
      </c>
      <c r="E37" s="18" t="s">
        <v>61</v>
      </c>
      <c r="F37" s="19">
        <v>20</v>
      </c>
      <c r="G37" s="18" t="s">
        <v>24</v>
      </c>
    </row>
    <row r="38" spans="1:7" x14ac:dyDescent="0.25">
      <c r="A38" s="20" t="s">
        <v>101</v>
      </c>
      <c r="B38" s="20" t="s">
        <v>102</v>
      </c>
      <c r="C38" s="20" t="s">
        <v>41</v>
      </c>
      <c r="D38" s="20" t="s">
        <v>41</v>
      </c>
      <c r="E38" s="20" t="s">
        <v>28</v>
      </c>
      <c r="F38" s="21">
        <v>10</v>
      </c>
      <c r="G38" s="20" t="s">
        <v>24</v>
      </c>
    </row>
    <row r="39" spans="1:7" x14ac:dyDescent="0.25">
      <c r="A39" s="18" t="s">
        <v>101</v>
      </c>
      <c r="B39" s="18" t="s">
        <v>102</v>
      </c>
      <c r="C39" s="18" t="s">
        <v>33</v>
      </c>
      <c r="D39" s="18" t="s">
        <v>33</v>
      </c>
      <c r="E39" s="18" t="s">
        <v>28</v>
      </c>
      <c r="F39" s="19">
        <v>10</v>
      </c>
      <c r="G39" s="18" t="s">
        <v>24</v>
      </c>
    </row>
    <row r="40" spans="1:7" x14ac:dyDescent="0.25">
      <c r="A40" s="20" t="s">
        <v>101</v>
      </c>
      <c r="B40" s="20" t="s">
        <v>102</v>
      </c>
      <c r="C40" s="20" t="s">
        <v>87</v>
      </c>
      <c r="D40" s="20" t="s">
        <v>56</v>
      </c>
      <c r="E40" s="20" t="s">
        <v>57</v>
      </c>
      <c r="F40" s="21">
        <v>10</v>
      </c>
      <c r="G40" s="20" t="s">
        <v>24</v>
      </c>
    </row>
    <row r="41" spans="1:7" x14ac:dyDescent="0.25">
      <c r="A41" s="18" t="s">
        <v>101</v>
      </c>
      <c r="B41" s="18" t="s">
        <v>102</v>
      </c>
      <c r="C41" s="18" t="s">
        <v>36</v>
      </c>
      <c r="D41" s="18" t="s">
        <v>36</v>
      </c>
      <c r="E41" s="18" t="s">
        <v>31</v>
      </c>
      <c r="F41" s="19">
        <v>10</v>
      </c>
      <c r="G41" s="18" t="s">
        <v>24</v>
      </c>
    </row>
    <row r="42" spans="1:7" x14ac:dyDescent="0.25">
      <c r="A42" s="20" t="s">
        <v>101</v>
      </c>
      <c r="B42" s="20" t="s">
        <v>102</v>
      </c>
      <c r="C42" s="20" t="s">
        <v>52</v>
      </c>
      <c r="D42" s="20" t="s">
        <v>52</v>
      </c>
      <c r="E42" s="20" t="s">
        <v>40</v>
      </c>
      <c r="F42" s="21">
        <v>10</v>
      </c>
      <c r="G42" s="20" t="s">
        <v>24</v>
      </c>
    </row>
    <row r="43" spans="1:7" x14ac:dyDescent="0.25">
      <c r="A43" s="18" t="s">
        <v>101</v>
      </c>
      <c r="B43" s="18" t="s">
        <v>102</v>
      </c>
      <c r="C43" s="18" t="s">
        <v>25</v>
      </c>
      <c r="D43" s="18" t="s">
        <v>25</v>
      </c>
      <c r="E43" s="18" t="s">
        <v>26</v>
      </c>
      <c r="F43" s="19">
        <v>10</v>
      </c>
      <c r="G43" s="18" t="s">
        <v>24</v>
      </c>
    </row>
    <row r="44" spans="1:7" x14ac:dyDescent="0.25">
      <c r="A44" s="20" t="s">
        <v>103</v>
      </c>
      <c r="B44" s="20" t="s">
        <v>104</v>
      </c>
      <c r="C44" s="20" t="s">
        <v>22</v>
      </c>
      <c r="D44" s="20" t="s">
        <v>22</v>
      </c>
      <c r="E44" s="20" t="s">
        <v>23</v>
      </c>
      <c r="F44" s="21">
        <v>23</v>
      </c>
      <c r="G44" s="20" t="s">
        <v>24</v>
      </c>
    </row>
    <row r="45" spans="1:7" x14ac:dyDescent="0.25">
      <c r="A45" s="18" t="s">
        <v>103</v>
      </c>
      <c r="B45" s="18" t="s">
        <v>104</v>
      </c>
      <c r="C45" s="18" t="s">
        <v>30</v>
      </c>
      <c r="D45" s="18" t="s">
        <v>30</v>
      </c>
      <c r="E45" s="18" t="s">
        <v>31</v>
      </c>
      <c r="F45" s="19">
        <v>20</v>
      </c>
      <c r="G45" s="18" t="s">
        <v>24</v>
      </c>
    </row>
    <row r="46" spans="1:7" x14ac:dyDescent="0.25">
      <c r="A46" s="20" t="s">
        <v>103</v>
      </c>
      <c r="B46" s="20" t="s">
        <v>104</v>
      </c>
      <c r="C46" s="20" t="s">
        <v>74</v>
      </c>
      <c r="D46" s="20" t="s">
        <v>74</v>
      </c>
      <c r="E46" s="20" t="s">
        <v>40</v>
      </c>
      <c r="F46" s="21">
        <v>9</v>
      </c>
      <c r="G46" s="20" t="s">
        <v>24</v>
      </c>
    </row>
    <row r="47" spans="1:7" x14ac:dyDescent="0.25">
      <c r="A47" s="18" t="s">
        <v>103</v>
      </c>
      <c r="B47" s="18" t="s">
        <v>104</v>
      </c>
      <c r="C47" s="18" t="s">
        <v>37</v>
      </c>
      <c r="D47" s="18" t="s">
        <v>37</v>
      </c>
      <c r="E47" s="18" t="s">
        <v>38</v>
      </c>
      <c r="F47" s="19">
        <v>8.7</v>
      </c>
      <c r="G47" s="18" t="s">
        <v>24</v>
      </c>
    </row>
    <row r="48" spans="1:7" x14ac:dyDescent="0.25">
      <c r="A48" s="20" t="s">
        <v>103</v>
      </c>
      <c r="B48" s="20" t="s">
        <v>104</v>
      </c>
      <c r="C48" s="20" t="s">
        <v>50</v>
      </c>
      <c r="D48" s="20" t="s">
        <v>50</v>
      </c>
      <c r="E48" s="20" t="s">
        <v>51</v>
      </c>
      <c r="F48" s="21">
        <v>8</v>
      </c>
      <c r="G48" s="20" t="s">
        <v>24</v>
      </c>
    </row>
    <row r="49" spans="1:7" x14ac:dyDescent="0.25">
      <c r="A49" s="18" t="s">
        <v>103</v>
      </c>
      <c r="B49" s="18" t="s">
        <v>104</v>
      </c>
      <c r="C49" s="18" t="s">
        <v>34</v>
      </c>
      <c r="D49" s="18" t="s">
        <v>34</v>
      </c>
      <c r="E49" s="18" t="s">
        <v>35</v>
      </c>
      <c r="F49" s="19">
        <v>7.5</v>
      </c>
      <c r="G49" s="18" t="s">
        <v>24</v>
      </c>
    </row>
    <row r="50" spans="1:7" x14ac:dyDescent="0.25">
      <c r="A50" s="20" t="s">
        <v>103</v>
      </c>
      <c r="B50" s="20" t="s">
        <v>104</v>
      </c>
      <c r="C50" s="20" t="s">
        <v>41</v>
      </c>
      <c r="D50" s="20" t="s">
        <v>41</v>
      </c>
      <c r="E50" s="20" t="s">
        <v>28</v>
      </c>
      <c r="F50" s="21">
        <v>6</v>
      </c>
      <c r="G50" s="20" t="s">
        <v>24</v>
      </c>
    </row>
    <row r="51" spans="1:7" x14ac:dyDescent="0.25">
      <c r="A51" s="18" t="s">
        <v>103</v>
      </c>
      <c r="B51" s="18" t="s">
        <v>104</v>
      </c>
      <c r="C51" s="18" t="s">
        <v>33</v>
      </c>
      <c r="D51" s="18" t="s">
        <v>33</v>
      </c>
      <c r="E51" s="18" t="s">
        <v>28</v>
      </c>
      <c r="F51" s="19">
        <v>6</v>
      </c>
      <c r="G51" s="18" t="s">
        <v>24</v>
      </c>
    </row>
    <row r="52" spans="1:7" x14ac:dyDescent="0.25">
      <c r="A52" s="20" t="s">
        <v>103</v>
      </c>
      <c r="B52" s="20" t="s">
        <v>104</v>
      </c>
      <c r="C52" s="20" t="s">
        <v>54</v>
      </c>
      <c r="D52" s="20" t="s">
        <v>54</v>
      </c>
      <c r="E52" s="20" t="s">
        <v>49</v>
      </c>
      <c r="F52" s="21">
        <v>2.5</v>
      </c>
      <c r="G52" s="20" t="s">
        <v>24</v>
      </c>
    </row>
    <row r="53" spans="1:7" x14ac:dyDescent="0.25">
      <c r="A53" s="18" t="s">
        <v>105</v>
      </c>
      <c r="B53" s="18" t="s">
        <v>106</v>
      </c>
      <c r="C53" s="18" t="s">
        <v>62</v>
      </c>
      <c r="D53" s="18" t="s">
        <v>62</v>
      </c>
      <c r="E53" s="18" t="s">
        <v>40</v>
      </c>
      <c r="F53" s="19">
        <v>10</v>
      </c>
      <c r="G53" s="18" t="s">
        <v>24</v>
      </c>
    </row>
    <row r="54" spans="1:7" x14ac:dyDescent="0.25">
      <c r="A54" s="20" t="s">
        <v>105</v>
      </c>
      <c r="B54" s="20" t="s">
        <v>106</v>
      </c>
      <c r="C54" s="20" t="s">
        <v>30</v>
      </c>
      <c r="D54" s="20" t="s">
        <v>30</v>
      </c>
      <c r="E54" s="20" t="s">
        <v>31</v>
      </c>
      <c r="F54" s="21">
        <v>20</v>
      </c>
      <c r="G54" s="20" t="s">
        <v>24</v>
      </c>
    </row>
    <row r="55" spans="1:7" x14ac:dyDescent="0.25">
      <c r="A55" s="18" t="s">
        <v>105</v>
      </c>
      <c r="B55" s="18" t="s">
        <v>106</v>
      </c>
      <c r="C55" s="18" t="s">
        <v>36</v>
      </c>
      <c r="D55" s="18" t="s">
        <v>36</v>
      </c>
      <c r="E55" s="18" t="s">
        <v>31</v>
      </c>
      <c r="F55" s="19">
        <v>20</v>
      </c>
      <c r="G55" s="18" t="s">
        <v>24</v>
      </c>
    </row>
    <row r="56" spans="1:7" x14ac:dyDescent="0.25">
      <c r="A56" s="20" t="s">
        <v>105</v>
      </c>
      <c r="B56" s="20" t="s">
        <v>106</v>
      </c>
      <c r="C56" s="20" t="s">
        <v>107</v>
      </c>
      <c r="D56" s="20" t="s">
        <v>42</v>
      </c>
      <c r="E56" s="20" t="s">
        <v>40</v>
      </c>
      <c r="F56" s="21">
        <v>20</v>
      </c>
      <c r="G56" s="20" t="s">
        <v>24</v>
      </c>
    </row>
    <row r="57" spans="1:7" x14ac:dyDescent="0.25">
      <c r="A57" s="18" t="s">
        <v>105</v>
      </c>
      <c r="B57" s="18" t="s">
        <v>106</v>
      </c>
      <c r="C57" s="18" t="s">
        <v>39</v>
      </c>
      <c r="D57" s="18" t="s">
        <v>39</v>
      </c>
      <c r="E57" s="18" t="s">
        <v>40</v>
      </c>
      <c r="F57" s="19">
        <v>10</v>
      </c>
      <c r="G57" s="18" t="s">
        <v>24</v>
      </c>
    </row>
    <row r="58" spans="1:7" x14ac:dyDescent="0.25">
      <c r="A58" s="20" t="s">
        <v>105</v>
      </c>
      <c r="B58" s="20" t="s">
        <v>106</v>
      </c>
      <c r="C58" s="20" t="s">
        <v>108</v>
      </c>
      <c r="D58" s="20" t="s">
        <v>37</v>
      </c>
      <c r="E58" s="20" t="s">
        <v>38</v>
      </c>
      <c r="F58" s="21">
        <v>30</v>
      </c>
      <c r="G58" s="20" t="s">
        <v>24</v>
      </c>
    </row>
    <row r="59" spans="1:7" x14ac:dyDescent="0.25">
      <c r="A59" s="18" t="s">
        <v>105</v>
      </c>
      <c r="B59" s="18" t="s">
        <v>106</v>
      </c>
      <c r="C59" s="18" t="s">
        <v>93</v>
      </c>
      <c r="D59" s="18" t="s">
        <v>34</v>
      </c>
      <c r="E59" s="18" t="s">
        <v>35</v>
      </c>
      <c r="F59" s="19">
        <v>10</v>
      </c>
      <c r="G59" s="18" t="s">
        <v>24</v>
      </c>
    </row>
    <row r="60" spans="1:7" x14ac:dyDescent="0.25">
      <c r="A60" s="20" t="s">
        <v>109</v>
      </c>
      <c r="B60" s="20" t="s">
        <v>110</v>
      </c>
      <c r="C60" s="20" t="s">
        <v>27</v>
      </c>
      <c r="D60" s="20" t="s">
        <v>27</v>
      </c>
      <c r="E60" s="20" t="s">
        <v>28</v>
      </c>
      <c r="F60" s="21">
        <v>25</v>
      </c>
      <c r="G60" s="20" t="s">
        <v>24</v>
      </c>
    </row>
    <row r="61" spans="1:7" x14ac:dyDescent="0.25">
      <c r="A61" s="18" t="s">
        <v>109</v>
      </c>
      <c r="B61" s="18" t="s">
        <v>110</v>
      </c>
      <c r="C61" s="18" t="s">
        <v>93</v>
      </c>
      <c r="D61" s="18" t="s">
        <v>34</v>
      </c>
      <c r="E61" s="18" t="s">
        <v>35</v>
      </c>
      <c r="F61" s="19">
        <v>25</v>
      </c>
      <c r="G61" s="18" t="s">
        <v>24</v>
      </c>
    </row>
    <row r="62" spans="1:7" x14ac:dyDescent="0.25">
      <c r="A62" s="20" t="s">
        <v>109</v>
      </c>
      <c r="B62" s="20" t="s">
        <v>110</v>
      </c>
      <c r="C62" s="20" t="s">
        <v>111</v>
      </c>
      <c r="D62" s="20" t="s">
        <v>58</v>
      </c>
      <c r="E62" s="20" t="s">
        <v>59</v>
      </c>
      <c r="F62" s="21">
        <v>25</v>
      </c>
      <c r="G62" s="20" t="s">
        <v>24</v>
      </c>
    </row>
    <row r="63" spans="1:7" x14ac:dyDescent="0.25">
      <c r="A63" s="18" t="s">
        <v>109</v>
      </c>
      <c r="B63" s="18" t="s">
        <v>110</v>
      </c>
      <c r="C63" s="18" t="s">
        <v>112</v>
      </c>
      <c r="D63" s="18" t="s">
        <v>55</v>
      </c>
      <c r="E63" s="18" t="s">
        <v>35</v>
      </c>
      <c r="F63" s="19">
        <v>20</v>
      </c>
      <c r="G63" s="18" t="s">
        <v>113</v>
      </c>
    </row>
    <row r="64" spans="1:7" x14ac:dyDescent="0.25">
      <c r="A64" s="20" t="s">
        <v>109</v>
      </c>
      <c r="B64" s="20" t="s">
        <v>110</v>
      </c>
      <c r="C64" s="20" t="s">
        <v>100</v>
      </c>
      <c r="D64" s="20" t="s">
        <v>33</v>
      </c>
      <c r="E64" s="20" t="s">
        <v>28</v>
      </c>
      <c r="F64" s="21">
        <v>20</v>
      </c>
      <c r="G64" s="20" t="s">
        <v>24</v>
      </c>
    </row>
    <row r="65" spans="1:7" x14ac:dyDescent="0.25">
      <c r="A65" s="18" t="s">
        <v>109</v>
      </c>
      <c r="B65" s="18" t="s">
        <v>110</v>
      </c>
      <c r="C65" s="18" t="s">
        <v>48</v>
      </c>
      <c r="D65" s="18" t="s">
        <v>48</v>
      </c>
      <c r="E65" s="18" t="s">
        <v>49</v>
      </c>
      <c r="F65" s="19">
        <v>15</v>
      </c>
      <c r="G65" s="18" t="s">
        <v>24</v>
      </c>
    </row>
    <row r="66" spans="1:7" x14ac:dyDescent="0.25">
      <c r="A66" s="20" t="s">
        <v>109</v>
      </c>
      <c r="B66" s="20" t="s">
        <v>110</v>
      </c>
      <c r="C66" s="20" t="s">
        <v>54</v>
      </c>
      <c r="D66" s="20" t="s">
        <v>54</v>
      </c>
      <c r="E66" s="20" t="s">
        <v>49</v>
      </c>
      <c r="F66" s="21">
        <v>10</v>
      </c>
      <c r="G66" s="20" t="s">
        <v>24</v>
      </c>
    </row>
    <row r="67" spans="1:7" x14ac:dyDescent="0.25">
      <c r="A67" s="18" t="s">
        <v>109</v>
      </c>
      <c r="B67" s="18" t="s">
        <v>110</v>
      </c>
      <c r="C67" s="18" t="s">
        <v>114</v>
      </c>
      <c r="D67" s="18" t="s">
        <v>42</v>
      </c>
      <c r="E67" s="18" t="s">
        <v>40</v>
      </c>
      <c r="F67" s="19">
        <v>10</v>
      </c>
      <c r="G67" s="18" t="s">
        <v>24</v>
      </c>
    </row>
    <row r="68" spans="1:7" x14ac:dyDescent="0.25">
      <c r="A68" s="20" t="s">
        <v>115</v>
      </c>
      <c r="B68" s="20" t="s">
        <v>116</v>
      </c>
      <c r="C68" s="20" t="s">
        <v>25</v>
      </c>
      <c r="D68" s="20" t="s">
        <v>25</v>
      </c>
      <c r="E68" s="20" t="s">
        <v>26</v>
      </c>
      <c r="F68" s="21">
        <v>20</v>
      </c>
      <c r="G68" s="20" t="s">
        <v>24</v>
      </c>
    </row>
    <row r="69" spans="1:7" x14ac:dyDescent="0.25">
      <c r="A69" s="18" t="s">
        <v>115</v>
      </c>
      <c r="B69" s="18" t="s">
        <v>116</v>
      </c>
      <c r="C69" s="18" t="s">
        <v>39</v>
      </c>
      <c r="D69" s="18" t="s">
        <v>39</v>
      </c>
      <c r="E69" s="18" t="s">
        <v>40</v>
      </c>
      <c r="F69" s="19">
        <v>20</v>
      </c>
      <c r="G69" s="18" t="s">
        <v>24</v>
      </c>
    </row>
    <row r="70" spans="1:7" x14ac:dyDescent="0.25">
      <c r="A70" s="20" t="s">
        <v>115</v>
      </c>
      <c r="B70" s="20" t="s">
        <v>116</v>
      </c>
      <c r="C70" s="20" t="s">
        <v>27</v>
      </c>
      <c r="D70" s="20" t="s">
        <v>27</v>
      </c>
      <c r="E70" s="20" t="s">
        <v>28</v>
      </c>
      <c r="F70" s="21">
        <v>20</v>
      </c>
      <c r="G70" s="20" t="s">
        <v>24</v>
      </c>
    </row>
    <row r="71" spans="1:7" x14ac:dyDescent="0.25">
      <c r="A71" s="18" t="s">
        <v>115</v>
      </c>
      <c r="B71" s="18" t="s">
        <v>116</v>
      </c>
      <c r="C71" s="18" t="s">
        <v>66</v>
      </c>
      <c r="D71" s="18" t="s">
        <v>66</v>
      </c>
      <c r="E71" s="18" t="s">
        <v>67</v>
      </c>
      <c r="F71" s="19">
        <v>15</v>
      </c>
      <c r="G71" s="18" t="s">
        <v>24</v>
      </c>
    </row>
    <row r="72" spans="1:7" x14ac:dyDescent="0.25">
      <c r="A72" s="20" t="s">
        <v>115</v>
      </c>
      <c r="B72" s="20" t="s">
        <v>116</v>
      </c>
      <c r="C72" s="20" t="s">
        <v>30</v>
      </c>
      <c r="D72" s="20" t="s">
        <v>30</v>
      </c>
      <c r="E72" s="20" t="s">
        <v>31</v>
      </c>
      <c r="F72" s="21">
        <v>15</v>
      </c>
      <c r="G72" s="20" t="s">
        <v>24</v>
      </c>
    </row>
    <row r="73" spans="1:7" x14ac:dyDescent="0.25">
      <c r="A73" s="18" t="s">
        <v>115</v>
      </c>
      <c r="B73" s="18" t="s">
        <v>116</v>
      </c>
      <c r="C73" s="18" t="s">
        <v>117</v>
      </c>
      <c r="D73" s="18" t="s">
        <v>42</v>
      </c>
      <c r="E73" s="18" t="s">
        <v>40</v>
      </c>
      <c r="F73" s="19">
        <v>15</v>
      </c>
      <c r="G73" s="18" t="s">
        <v>24</v>
      </c>
    </row>
    <row r="74" spans="1:7" x14ac:dyDescent="0.25">
      <c r="A74" s="20" t="s">
        <v>115</v>
      </c>
      <c r="B74" s="20" t="s">
        <v>116</v>
      </c>
      <c r="C74" s="20" t="s">
        <v>46</v>
      </c>
      <c r="D74" s="20" t="s">
        <v>46</v>
      </c>
      <c r="E74" s="20" t="s">
        <v>47</v>
      </c>
      <c r="F74" s="21">
        <v>10</v>
      </c>
      <c r="G74" s="20" t="s">
        <v>24</v>
      </c>
    </row>
    <row r="75" spans="1:7" x14ac:dyDescent="0.25">
      <c r="A75" s="18" t="s">
        <v>115</v>
      </c>
      <c r="B75" s="18" t="s">
        <v>116</v>
      </c>
      <c r="C75" s="18" t="s">
        <v>43</v>
      </c>
      <c r="D75" s="18" t="s">
        <v>43</v>
      </c>
      <c r="E75" s="18" t="s">
        <v>44</v>
      </c>
      <c r="F75" s="19">
        <v>10</v>
      </c>
      <c r="G75" s="18" t="s">
        <v>24</v>
      </c>
    </row>
    <row r="76" spans="1:7" x14ac:dyDescent="0.25">
      <c r="A76" s="20" t="s">
        <v>115</v>
      </c>
      <c r="B76" s="20" t="s">
        <v>116</v>
      </c>
      <c r="C76" s="20" t="s">
        <v>118</v>
      </c>
      <c r="D76" s="20" t="s">
        <v>72</v>
      </c>
      <c r="E76" s="20" t="s">
        <v>28</v>
      </c>
      <c r="F76" s="21">
        <v>10</v>
      </c>
      <c r="G76" s="20" t="s">
        <v>24</v>
      </c>
    </row>
    <row r="77" spans="1:7" x14ac:dyDescent="0.25">
      <c r="A77" s="18" t="s">
        <v>115</v>
      </c>
      <c r="B77" s="18" t="s">
        <v>116</v>
      </c>
      <c r="C77" s="18" t="s">
        <v>36</v>
      </c>
      <c r="D77" s="18" t="s">
        <v>36</v>
      </c>
      <c r="E77" s="18" t="s">
        <v>31</v>
      </c>
      <c r="F77" s="19">
        <v>10</v>
      </c>
      <c r="G77" s="18" t="s">
        <v>24</v>
      </c>
    </row>
    <row r="78" spans="1:7" x14ac:dyDescent="0.25">
      <c r="A78" s="20" t="s">
        <v>119</v>
      </c>
      <c r="B78" s="20" t="s">
        <v>120</v>
      </c>
      <c r="C78" s="20" t="s">
        <v>121</v>
      </c>
      <c r="D78" s="20" t="s">
        <v>37</v>
      </c>
      <c r="E78" s="20" t="s">
        <v>38</v>
      </c>
      <c r="F78" s="21">
        <v>15</v>
      </c>
      <c r="G78" s="20" t="s">
        <v>122</v>
      </c>
    </row>
    <row r="79" spans="1:7" x14ac:dyDescent="0.25">
      <c r="A79" s="18" t="s">
        <v>119</v>
      </c>
      <c r="B79" s="18" t="s">
        <v>120</v>
      </c>
      <c r="C79" s="18" t="s">
        <v>45</v>
      </c>
      <c r="D79" s="18" t="s">
        <v>45</v>
      </c>
      <c r="E79" s="18" t="s">
        <v>28</v>
      </c>
      <c r="F79" s="19">
        <v>15</v>
      </c>
      <c r="G79" s="18" t="s">
        <v>24</v>
      </c>
    </row>
    <row r="80" spans="1:7" x14ac:dyDescent="0.25">
      <c r="A80" s="20" t="s">
        <v>119</v>
      </c>
      <c r="B80" s="20" t="s">
        <v>120</v>
      </c>
      <c r="C80" s="20" t="s">
        <v>22</v>
      </c>
      <c r="D80" s="20" t="s">
        <v>22</v>
      </c>
      <c r="E80" s="20" t="s">
        <v>23</v>
      </c>
      <c r="F80" s="21">
        <v>15</v>
      </c>
      <c r="G80" s="20" t="s">
        <v>24</v>
      </c>
    </row>
    <row r="81" spans="1:7" x14ac:dyDescent="0.25">
      <c r="A81" s="18" t="s">
        <v>119</v>
      </c>
      <c r="B81" s="18" t="s">
        <v>120</v>
      </c>
      <c r="C81" s="18" t="s">
        <v>25</v>
      </c>
      <c r="D81" s="18" t="s">
        <v>25</v>
      </c>
      <c r="E81" s="18" t="s">
        <v>26</v>
      </c>
      <c r="F81" s="19">
        <v>10</v>
      </c>
      <c r="G81" s="18" t="s">
        <v>123</v>
      </c>
    </row>
    <row r="82" spans="1:7" x14ac:dyDescent="0.25">
      <c r="A82" s="20" t="s">
        <v>119</v>
      </c>
      <c r="B82" s="20" t="s">
        <v>120</v>
      </c>
      <c r="C82" s="20" t="s">
        <v>39</v>
      </c>
      <c r="D82" s="20" t="s">
        <v>39</v>
      </c>
      <c r="E82" s="20" t="s">
        <v>40</v>
      </c>
      <c r="F82" s="21">
        <v>10</v>
      </c>
      <c r="G82" s="20" t="s">
        <v>24</v>
      </c>
    </row>
    <row r="83" spans="1:7" x14ac:dyDescent="0.25">
      <c r="A83" s="18" t="s">
        <v>119</v>
      </c>
      <c r="B83" s="18" t="s">
        <v>120</v>
      </c>
      <c r="C83" s="18" t="s">
        <v>50</v>
      </c>
      <c r="D83" s="18" t="s">
        <v>50</v>
      </c>
      <c r="E83" s="18" t="s">
        <v>51</v>
      </c>
      <c r="F83" s="19">
        <v>10</v>
      </c>
      <c r="G83" s="18" t="s">
        <v>24</v>
      </c>
    </row>
    <row r="84" spans="1:7" x14ac:dyDescent="0.25">
      <c r="A84" s="20" t="s">
        <v>119</v>
      </c>
      <c r="B84" s="20" t="s">
        <v>120</v>
      </c>
      <c r="C84" s="20" t="s">
        <v>30</v>
      </c>
      <c r="D84" s="20" t="s">
        <v>30</v>
      </c>
      <c r="E84" s="20" t="s">
        <v>31</v>
      </c>
      <c r="F84" s="21">
        <v>10</v>
      </c>
      <c r="G84" s="20" t="s">
        <v>24</v>
      </c>
    </row>
    <row r="85" spans="1:7" x14ac:dyDescent="0.25">
      <c r="A85" s="18" t="s">
        <v>119</v>
      </c>
      <c r="B85" s="18" t="s">
        <v>120</v>
      </c>
      <c r="C85" s="18" t="s">
        <v>48</v>
      </c>
      <c r="D85" s="18" t="s">
        <v>48</v>
      </c>
      <c r="E85" s="18" t="s">
        <v>49</v>
      </c>
      <c r="F85" s="19">
        <v>5</v>
      </c>
      <c r="G85" s="18" t="s">
        <v>24</v>
      </c>
    </row>
    <row r="86" spans="1:7" x14ac:dyDescent="0.25">
      <c r="A86" s="20" t="s">
        <v>119</v>
      </c>
      <c r="B86" s="20" t="s">
        <v>120</v>
      </c>
      <c r="C86" s="20" t="s">
        <v>54</v>
      </c>
      <c r="D86" s="20" t="s">
        <v>54</v>
      </c>
      <c r="E86" s="20" t="s">
        <v>49</v>
      </c>
      <c r="F86" s="21">
        <v>5</v>
      </c>
      <c r="G86" s="20" t="s">
        <v>24</v>
      </c>
    </row>
    <row r="87" spans="1:7" x14ac:dyDescent="0.25">
      <c r="A87" s="18" t="s">
        <v>119</v>
      </c>
      <c r="B87" s="18" t="s">
        <v>120</v>
      </c>
      <c r="C87" s="18" t="s">
        <v>43</v>
      </c>
      <c r="D87" s="18" t="s">
        <v>43</v>
      </c>
      <c r="E87" s="18" t="s">
        <v>44</v>
      </c>
      <c r="F87" s="19">
        <v>5</v>
      </c>
      <c r="G87" s="18" t="s">
        <v>24</v>
      </c>
    </row>
    <row r="88" spans="1:7" x14ac:dyDescent="0.25">
      <c r="A88" s="20" t="s">
        <v>119</v>
      </c>
      <c r="B88" s="20" t="s">
        <v>120</v>
      </c>
      <c r="C88" s="20" t="s">
        <v>41</v>
      </c>
      <c r="D88" s="20" t="s">
        <v>41</v>
      </c>
      <c r="E88" s="20" t="s">
        <v>28</v>
      </c>
      <c r="F88" s="21">
        <v>5</v>
      </c>
      <c r="G88" s="20" t="s">
        <v>24</v>
      </c>
    </row>
    <row r="89" spans="1:7" x14ac:dyDescent="0.25">
      <c r="A89" s="18" t="s">
        <v>119</v>
      </c>
      <c r="B89" s="18" t="s">
        <v>120</v>
      </c>
      <c r="C89" s="18" t="s">
        <v>33</v>
      </c>
      <c r="D89" s="18" t="s">
        <v>33</v>
      </c>
      <c r="E89" s="18" t="s">
        <v>28</v>
      </c>
      <c r="F89" s="19">
        <v>5</v>
      </c>
      <c r="G89" s="18" t="s">
        <v>24</v>
      </c>
    </row>
    <row r="90" spans="1:7" x14ac:dyDescent="0.25">
      <c r="A90" s="20" t="s">
        <v>119</v>
      </c>
      <c r="B90" s="20" t="s">
        <v>120</v>
      </c>
      <c r="C90" s="20" t="s">
        <v>62</v>
      </c>
      <c r="D90" s="20" t="s">
        <v>62</v>
      </c>
      <c r="E90" s="20" t="s">
        <v>40</v>
      </c>
      <c r="F90" s="21">
        <v>5</v>
      </c>
      <c r="G90" s="20" t="s">
        <v>24</v>
      </c>
    </row>
  </sheetData>
  <mergeCells count="1">
    <mergeCell ref="A1:G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22" customWidth="1"/>
    <col min="3" max="11" width="12" customWidth="1"/>
    <col min="12" max="12" width="13" customWidth="1"/>
    <col min="13" max="13" width="11" customWidth="1"/>
    <col min="14" max="14" width="12" customWidth="1"/>
    <col min="15" max="15" width="10" customWidth="1"/>
  </cols>
  <sheetData>
    <row r="1" ht="26" customHeight="1" spans="1:15" x14ac:dyDescent="0.25">
      <c r="A1" s="16" t="s">
        <v>124</v>
      </c>
      <c r="B1" s="16"/>
      <c r="C1" s="16"/>
      <c r="D1" s="16"/>
      <c r="E1" s="16"/>
      <c r="F1" s="16"/>
      <c r="G1" s="16"/>
      <c r="H1" s="16"/>
      <c r="I1" s="16"/>
      <c r="J1" s="16"/>
      <c r="K1" s="16"/>
      <c r="L1" s="16"/>
      <c r="M1" s="16"/>
      <c r="N1" s="16"/>
      <c r="O1" s="16"/>
    </row>
    <row r="2" ht="30" customHeight="1" spans="1:15" x14ac:dyDescent="0.25">
      <c r="A2" s="17" t="s">
        <v>11</v>
      </c>
      <c r="B2" s="17" t="s">
        <v>12</v>
      </c>
      <c r="C2" s="17" t="s">
        <v>85</v>
      </c>
      <c r="D2" s="17" t="s">
        <v>89</v>
      </c>
      <c r="E2" s="17" t="s">
        <v>95</v>
      </c>
      <c r="F2" s="17" t="s">
        <v>101</v>
      </c>
      <c r="G2" s="17" t="s">
        <v>103</v>
      </c>
      <c r="H2" s="17" t="s">
        <v>105</v>
      </c>
      <c r="I2" s="17" t="s">
        <v>109</v>
      </c>
      <c r="J2" s="17" t="s">
        <v>115</v>
      </c>
      <c r="K2" s="17" t="s">
        <v>119</v>
      </c>
      <c r="L2" s="17" t="s">
        <v>125</v>
      </c>
      <c r="M2" s="17" t="s">
        <v>126</v>
      </c>
      <c r="N2" s="17" t="s">
        <v>127</v>
      </c>
      <c r="O2" s="17" t="s">
        <v>128</v>
      </c>
    </row>
    <row r="3" spans="1:15" x14ac:dyDescent="0.25">
      <c r="A3" s="18" t="s">
        <v>22</v>
      </c>
      <c r="B3" s="18" t="s">
        <v>23</v>
      </c>
      <c r="C3" s="19">
        <v>30</v>
      </c>
      <c r="D3" s="19">
        <v>25</v>
      </c>
      <c r="E3" s="19" t="s">
        <v>24</v>
      </c>
      <c r="F3" s="19" t="s">
        <v>24</v>
      </c>
      <c r="G3" s="19">
        <v>23</v>
      </c>
      <c r="H3" s="19" t="s">
        <v>24</v>
      </c>
      <c r="I3" s="19" t="s">
        <v>24</v>
      </c>
      <c r="J3" s="19" t="s">
        <v>24</v>
      </c>
      <c r="K3" s="19">
        <v>15</v>
      </c>
      <c r="L3" s="19">
        <v>93</v>
      </c>
      <c r="M3" s="22">
        <v>4</v>
      </c>
      <c r="N3" s="19">
        <v>12</v>
      </c>
      <c r="O3" s="23">
        <v>0.08</v>
      </c>
    </row>
    <row r="4" spans="1:15" x14ac:dyDescent="0.25">
      <c r="A4" s="20" t="s">
        <v>25</v>
      </c>
      <c r="B4" s="20" t="s">
        <v>26</v>
      </c>
      <c r="C4" s="21">
        <v>15</v>
      </c>
      <c r="D4" s="21">
        <v>7.5</v>
      </c>
      <c r="E4" s="21">
        <v>15</v>
      </c>
      <c r="F4" s="21">
        <v>10</v>
      </c>
      <c r="G4" s="21" t="s">
        <v>24</v>
      </c>
      <c r="H4" s="21" t="s">
        <v>24</v>
      </c>
      <c r="I4" s="21" t="s">
        <v>24</v>
      </c>
      <c r="J4" s="21">
        <v>20</v>
      </c>
      <c r="K4" s="21">
        <v>10</v>
      </c>
      <c r="L4" s="21">
        <v>77.5</v>
      </c>
      <c r="M4" s="24">
        <v>6</v>
      </c>
      <c r="N4" s="21">
        <v>9.9</v>
      </c>
      <c r="O4" s="25">
        <v>0.066</v>
      </c>
    </row>
    <row r="5" spans="1:15" x14ac:dyDescent="0.25">
      <c r="A5" s="18" t="s">
        <v>27</v>
      </c>
      <c r="B5" s="18" t="s">
        <v>28</v>
      </c>
      <c r="C5" s="19" t="s">
        <v>24</v>
      </c>
      <c r="D5" s="19" t="s">
        <v>24</v>
      </c>
      <c r="E5" s="19">
        <v>12</v>
      </c>
      <c r="F5" s="19">
        <v>20</v>
      </c>
      <c r="G5" s="19" t="s">
        <v>24</v>
      </c>
      <c r="H5" s="19" t="s">
        <v>24</v>
      </c>
      <c r="I5" s="19">
        <v>25</v>
      </c>
      <c r="J5" s="19">
        <v>20</v>
      </c>
      <c r="K5" s="19" t="s">
        <v>24</v>
      </c>
      <c r="L5" s="19">
        <v>77</v>
      </c>
      <c r="M5" s="22">
        <v>4</v>
      </c>
      <c r="N5" s="19">
        <v>9.9</v>
      </c>
      <c r="O5" s="23">
        <v>0.066</v>
      </c>
    </row>
    <row r="6" spans="1:15" x14ac:dyDescent="0.25">
      <c r="A6" s="20" t="s">
        <v>30</v>
      </c>
      <c r="B6" s="20" t="s">
        <v>31</v>
      </c>
      <c r="C6" s="21" t="s">
        <v>24</v>
      </c>
      <c r="D6" s="21">
        <v>5</v>
      </c>
      <c r="E6" s="21" t="s">
        <v>24</v>
      </c>
      <c r="F6" s="21" t="s">
        <v>24</v>
      </c>
      <c r="G6" s="21">
        <v>20</v>
      </c>
      <c r="H6" s="21">
        <v>20</v>
      </c>
      <c r="I6" s="21" t="s">
        <v>24</v>
      </c>
      <c r="J6" s="21">
        <v>15</v>
      </c>
      <c r="K6" s="21">
        <v>10</v>
      </c>
      <c r="L6" s="21">
        <v>70</v>
      </c>
      <c r="M6" s="24">
        <v>5</v>
      </c>
      <c r="N6" s="21">
        <v>9</v>
      </c>
      <c r="O6" s="25">
        <v>0.06</v>
      </c>
    </row>
    <row r="7" spans="1:15" x14ac:dyDescent="0.25">
      <c r="A7" s="18" t="s">
        <v>33</v>
      </c>
      <c r="B7" s="18" t="s">
        <v>28</v>
      </c>
      <c r="C7" s="19" t="s">
        <v>24</v>
      </c>
      <c r="D7" s="19">
        <v>12</v>
      </c>
      <c r="E7" s="19">
        <v>12.5</v>
      </c>
      <c r="F7" s="19">
        <v>10</v>
      </c>
      <c r="G7" s="19">
        <v>6</v>
      </c>
      <c r="H7" s="19" t="s">
        <v>24</v>
      </c>
      <c r="I7" s="19">
        <v>20</v>
      </c>
      <c r="J7" s="19" t="s">
        <v>24</v>
      </c>
      <c r="K7" s="19">
        <v>5</v>
      </c>
      <c r="L7" s="19">
        <v>65.5</v>
      </c>
      <c r="M7" s="22">
        <v>6</v>
      </c>
      <c r="N7" s="19">
        <v>8.4</v>
      </c>
      <c r="O7" s="23">
        <v>0.056</v>
      </c>
    </row>
    <row r="8" spans="1:15" x14ac:dyDescent="0.25">
      <c r="A8" s="20" t="s">
        <v>34</v>
      </c>
      <c r="B8" s="20" t="s">
        <v>35</v>
      </c>
      <c r="C8" s="21" t="s">
        <v>24</v>
      </c>
      <c r="D8" s="21">
        <v>7</v>
      </c>
      <c r="E8" s="21">
        <v>12</v>
      </c>
      <c r="F8" s="21" t="s">
        <v>24</v>
      </c>
      <c r="G8" s="21">
        <v>7.5</v>
      </c>
      <c r="H8" s="21">
        <v>10</v>
      </c>
      <c r="I8" s="21">
        <v>25</v>
      </c>
      <c r="J8" s="21" t="s">
        <v>24</v>
      </c>
      <c r="K8" s="21" t="s">
        <v>24</v>
      </c>
      <c r="L8" s="21">
        <v>61.5</v>
      </c>
      <c r="M8" s="24">
        <v>5</v>
      </c>
      <c r="N8" s="21">
        <v>7.9</v>
      </c>
      <c r="O8" s="25">
        <v>0.05266666666666667</v>
      </c>
    </row>
    <row r="9" spans="1:15" x14ac:dyDescent="0.25">
      <c r="A9" s="18" t="s">
        <v>36</v>
      </c>
      <c r="B9" s="18" t="s">
        <v>31</v>
      </c>
      <c r="C9" s="19" t="s">
        <v>24</v>
      </c>
      <c r="D9" s="19" t="s">
        <v>24</v>
      </c>
      <c r="E9" s="19">
        <v>20</v>
      </c>
      <c r="F9" s="19">
        <v>10</v>
      </c>
      <c r="G9" s="19" t="s">
        <v>24</v>
      </c>
      <c r="H9" s="19">
        <v>20</v>
      </c>
      <c r="I9" s="19" t="s">
        <v>24</v>
      </c>
      <c r="J9" s="19">
        <v>10</v>
      </c>
      <c r="K9" s="19" t="s">
        <v>24</v>
      </c>
      <c r="L9" s="19">
        <v>60</v>
      </c>
      <c r="M9" s="22">
        <v>4</v>
      </c>
      <c r="N9" s="19">
        <v>7.7</v>
      </c>
      <c r="O9" s="23">
        <v>0.051333333333333335</v>
      </c>
    </row>
    <row r="10" spans="1:15" x14ac:dyDescent="0.25">
      <c r="A10" s="20" t="s">
        <v>37</v>
      </c>
      <c r="B10" s="20" t="s">
        <v>38</v>
      </c>
      <c r="C10" s="21" t="s">
        <v>24</v>
      </c>
      <c r="D10" s="21" t="s">
        <v>24</v>
      </c>
      <c r="E10" s="21" t="s">
        <v>24</v>
      </c>
      <c r="F10" s="21" t="s">
        <v>24</v>
      </c>
      <c r="G10" s="21">
        <v>8.7</v>
      </c>
      <c r="H10" s="21">
        <v>30</v>
      </c>
      <c r="I10" s="21" t="s">
        <v>24</v>
      </c>
      <c r="J10" s="21" t="s">
        <v>24</v>
      </c>
      <c r="K10" s="21">
        <v>15</v>
      </c>
      <c r="L10" s="21">
        <v>53.7</v>
      </c>
      <c r="M10" s="24">
        <v>3</v>
      </c>
      <c r="N10" s="21">
        <v>6.9</v>
      </c>
      <c r="O10" s="25">
        <v>0.046</v>
      </c>
    </row>
    <row r="11" spans="1:15" x14ac:dyDescent="0.25">
      <c r="A11" s="18" t="s">
        <v>39</v>
      </c>
      <c r="B11" s="18" t="s">
        <v>40</v>
      </c>
      <c r="C11" s="19" t="s">
        <v>24</v>
      </c>
      <c r="D11" s="19" t="s">
        <v>24</v>
      </c>
      <c r="E11" s="19">
        <v>10</v>
      </c>
      <c r="F11" s="19" t="s">
        <v>24</v>
      </c>
      <c r="G11" s="19" t="s">
        <v>24</v>
      </c>
      <c r="H11" s="19">
        <v>10</v>
      </c>
      <c r="I11" s="19" t="s">
        <v>24</v>
      </c>
      <c r="J11" s="19">
        <v>20</v>
      </c>
      <c r="K11" s="19">
        <v>10</v>
      </c>
      <c r="L11" s="19">
        <v>50</v>
      </c>
      <c r="M11" s="22">
        <v>4</v>
      </c>
      <c r="N11" s="19">
        <v>6.4</v>
      </c>
      <c r="O11" s="23">
        <v>0.04266666666666667</v>
      </c>
    </row>
    <row r="12" spans="1:15" x14ac:dyDescent="0.25">
      <c r="A12" s="20" t="s">
        <v>41</v>
      </c>
      <c r="B12" s="20" t="s">
        <v>28</v>
      </c>
      <c r="C12" s="21" t="s">
        <v>24</v>
      </c>
      <c r="D12" s="21">
        <v>12</v>
      </c>
      <c r="E12" s="21">
        <v>12.5</v>
      </c>
      <c r="F12" s="21">
        <v>10</v>
      </c>
      <c r="G12" s="21">
        <v>6</v>
      </c>
      <c r="H12" s="21" t="s">
        <v>24</v>
      </c>
      <c r="I12" s="21" t="s">
        <v>24</v>
      </c>
      <c r="J12" s="21" t="s">
        <v>24</v>
      </c>
      <c r="K12" s="21">
        <v>5</v>
      </c>
      <c r="L12" s="21">
        <v>45.5</v>
      </c>
      <c r="M12" s="24">
        <v>5</v>
      </c>
      <c r="N12" s="21">
        <v>5.8</v>
      </c>
      <c r="O12" s="25">
        <v>0.03866666666666667</v>
      </c>
    </row>
    <row r="13" spans="1:15" x14ac:dyDescent="0.25">
      <c r="A13" s="18" t="s">
        <v>42</v>
      </c>
      <c r="B13" s="18" t="s">
        <v>40</v>
      </c>
      <c r="C13" s="19" t="s">
        <v>24</v>
      </c>
      <c r="D13" s="19" t="s">
        <v>24</v>
      </c>
      <c r="E13" s="19" t="s">
        <v>24</v>
      </c>
      <c r="F13" s="19" t="s">
        <v>24</v>
      </c>
      <c r="G13" s="19" t="s">
        <v>24</v>
      </c>
      <c r="H13" s="19">
        <v>20</v>
      </c>
      <c r="I13" s="19">
        <v>10</v>
      </c>
      <c r="J13" s="19">
        <v>15</v>
      </c>
      <c r="K13" s="19" t="s">
        <v>24</v>
      </c>
      <c r="L13" s="19">
        <v>45</v>
      </c>
      <c r="M13" s="22">
        <v>3</v>
      </c>
      <c r="N13" s="19">
        <v>5.8</v>
      </c>
      <c r="O13" s="23">
        <v>0.03866666666666667</v>
      </c>
    </row>
    <row r="14" spans="1:15" x14ac:dyDescent="0.25">
      <c r="A14" s="20" t="s">
        <v>43</v>
      </c>
      <c r="B14" s="20" t="s">
        <v>44</v>
      </c>
      <c r="C14" s="21">
        <v>10</v>
      </c>
      <c r="D14" s="21" t="s">
        <v>24</v>
      </c>
      <c r="E14" s="21">
        <v>10</v>
      </c>
      <c r="F14" s="21" t="s">
        <v>24</v>
      </c>
      <c r="G14" s="21" t="s">
        <v>24</v>
      </c>
      <c r="H14" s="21" t="s">
        <v>24</v>
      </c>
      <c r="I14" s="21" t="s">
        <v>24</v>
      </c>
      <c r="J14" s="21">
        <v>10</v>
      </c>
      <c r="K14" s="21">
        <v>5</v>
      </c>
      <c r="L14" s="21">
        <v>35</v>
      </c>
      <c r="M14" s="24">
        <v>4</v>
      </c>
      <c r="N14" s="21">
        <v>4.5</v>
      </c>
      <c r="O14" s="25">
        <v>0.03</v>
      </c>
    </row>
    <row r="15" spans="1:15" x14ac:dyDescent="0.25">
      <c r="A15" s="18" t="s">
        <v>45</v>
      </c>
      <c r="B15" s="18" t="s">
        <v>28</v>
      </c>
      <c r="C15" s="19">
        <v>20</v>
      </c>
      <c r="D15" s="19" t="s">
        <v>24</v>
      </c>
      <c r="E15" s="19" t="s">
        <v>24</v>
      </c>
      <c r="F15" s="19" t="s">
        <v>24</v>
      </c>
      <c r="G15" s="19" t="s">
        <v>24</v>
      </c>
      <c r="H15" s="19" t="s">
        <v>24</v>
      </c>
      <c r="I15" s="19" t="s">
        <v>24</v>
      </c>
      <c r="J15" s="19" t="s">
        <v>24</v>
      </c>
      <c r="K15" s="19">
        <v>15</v>
      </c>
      <c r="L15" s="19">
        <v>35</v>
      </c>
      <c r="M15" s="22">
        <v>2</v>
      </c>
      <c r="N15" s="19">
        <v>4.5</v>
      </c>
      <c r="O15" s="23">
        <v>0.03</v>
      </c>
    </row>
    <row r="16" spans="1:15" x14ac:dyDescent="0.25">
      <c r="A16" s="20" t="s">
        <v>46</v>
      </c>
      <c r="B16" s="20" t="s">
        <v>47</v>
      </c>
      <c r="C16" s="21" t="s">
        <v>24</v>
      </c>
      <c r="D16" s="21">
        <v>23</v>
      </c>
      <c r="E16" s="21" t="s">
        <v>24</v>
      </c>
      <c r="F16" s="21" t="s">
        <v>24</v>
      </c>
      <c r="G16" s="21" t="s">
        <v>24</v>
      </c>
      <c r="H16" s="21" t="s">
        <v>24</v>
      </c>
      <c r="I16" s="21" t="s">
        <v>24</v>
      </c>
      <c r="J16" s="21">
        <v>10</v>
      </c>
      <c r="K16" s="21" t="s">
        <v>24</v>
      </c>
      <c r="L16" s="21">
        <v>33</v>
      </c>
      <c r="M16" s="24">
        <v>2</v>
      </c>
      <c r="N16" s="21">
        <v>4.2</v>
      </c>
      <c r="O16" s="25">
        <v>0.028</v>
      </c>
    </row>
    <row r="17" spans="1:15" x14ac:dyDescent="0.25">
      <c r="A17" s="18" t="s">
        <v>48</v>
      </c>
      <c r="B17" s="18" t="s">
        <v>49</v>
      </c>
      <c r="C17" s="19" t="s">
        <v>24</v>
      </c>
      <c r="D17" s="19">
        <v>11.5</v>
      </c>
      <c r="E17" s="19" t="s">
        <v>24</v>
      </c>
      <c r="F17" s="19" t="s">
        <v>24</v>
      </c>
      <c r="G17" s="19" t="s">
        <v>24</v>
      </c>
      <c r="H17" s="19" t="s">
        <v>24</v>
      </c>
      <c r="I17" s="19">
        <v>15</v>
      </c>
      <c r="J17" s="19" t="s">
        <v>24</v>
      </c>
      <c r="K17" s="19">
        <v>5</v>
      </c>
      <c r="L17" s="19">
        <v>31.5</v>
      </c>
      <c r="M17" s="22">
        <v>3</v>
      </c>
      <c r="N17" s="19">
        <v>4</v>
      </c>
      <c r="O17" s="23">
        <v>0.02666666666666667</v>
      </c>
    </row>
    <row r="18" spans="1:15" x14ac:dyDescent="0.25">
      <c r="A18" s="20" t="s">
        <v>50</v>
      </c>
      <c r="B18" s="20" t="s">
        <v>51</v>
      </c>
      <c r="C18" s="21" t="s">
        <v>24</v>
      </c>
      <c r="D18" s="21" t="s">
        <v>24</v>
      </c>
      <c r="E18" s="21">
        <v>12</v>
      </c>
      <c r="F18" s="21" t="s">
        <v>24</v>
      </c>
      <c r="G18" s="21">
        <v>8</v>
      </c>
      <c r="H18" s="21" t="s">
        <v>24</v>
      </c>
      <c r="I18" s="21" t="s">
        <v>24</v>
      </c>
      <c r="J18" s="21" t="s">
        <v>24</v>
      </c>
      <c r="K18" s="21">
        <v>10</v>
      </c>
      <c r="L18" s="21">
        <v>30</v>
      </c>
      <c r="M18" s="24">
        <v>3</v>
      </c>
      <c r="N18" s="21">
        <v>3.8</v>
      </c>
      <c r="O18" s="25">
        <v>0.025333333333333333</v>
      </c>
    </row>
    <row r="19" spans="1:15" x14ac:dyDescent="0.25">
      <c r="A19" s="18" t="s">
        <v>52</v>
      </c>
      <c r="B19" s="18" t="s">
        <v>40</v>
      </c>
      <c r="C19" s="19" t="s">
        <v>24</v>
      </c>
      <c r="D19" s="19">
        <v>20</v>
      </c>
      <c r="E19" s="19" t="s">
        <v>24</v>
      </c>
      <c r="F19" s="19">
        <v>10</v>
      </c>
      <c r="G19" s="19" t="s">
        <v>24</v>
      </c>
      <c r="H19" s="19" t="s">
        <v>24</v>
      </c>
      <c r="I19" s="19" t="s">
        <v>24</v>
      </c>
      <c r="J19" s="19" t="s">
        <v>24</v>
      </c>
      <c r="K19" s="19" t="s">
        <v>24</v>
      </c>
      <c r="L19" s="19">
        <v>30</v>
      </c>
      <c r="M19" s="22">
        <v>2</v>
      </c>
      <c r="N19" s="19">
        <v>3.8</v>
      </c>
      <c r="O19" s="23">
        <v>0.025333333333333333</v>
      </c>
    </row>
    <row r="20" spans="1:15" x14ac:dyDescent="0.25">
      <c r="A20" s="20" t="s">
        <v>53</v>
      </c>
      <c r="B20" s="20" t="s">
        <v>38</v>
      </c>
      <c r="C20" s="21">
        <v>30</v>
      </c>
      <c r="D20" s="21" t="s">
        <v>24</v>
      </c>
      <c r="E20" s="21" t="s">
        <v>24</v>
      </c>
      <c r="F20" s="21" t="s">
        <v>24</v>
      </c>
      <c r="G20" s="21" t="s">
        <v>24</v>
      </c>
      <c r="H20" s="21" t="s">
        <v>24</v>
      </c>
      <c r="I20" s="21" t="s">
        <v>24</v>
      </c>
      <c r="J20" s="21" t="s">
        <v>24</v>
      </c>
      <c r="K20" s="21" t="s">
        <v>24</v>
      </c>
      <c r="L20" s="21">
        <v>30</v>
      </c>
      <c r="M20" s="24">
        <v>1</v>
      </c>
      <c r="N20" s="21">
        <v>3.8</v>
      </c>
      <c r="O20" s="25">
        <v>0.025333333333333333</v>
      </c>
    </row>
    <row r="21" spans="1:15" x14ac:dyDescent="0.25">
      <c r="A21" s="18" t="s">
        <v>54</v>
      </c>
      <c r="B21" s="18" t="s">
        <v>49</v>
      </c>
      <c r="C21" s="19" t="s">
        <v>24</v>
      </c>
      <c r="D21" s="19">
        <v>10</v>
      </c>
      <c r="E21" s="19" t="s">
        <v>24</v>
      </c>
      <c r="F21" s="19" t="s">
        <v>24</v>
      </c>
      <c r="G21" s="19">
        <v>2.5</v>
      </c>
      <c r="H21" s="19" t="s">
        <v>24</v>
      </c>
      <c r="I21" s="19">
        <v>10</v>
      </c>
      <c r="J21" s="19" t="s">
        <v>24</v>
      </c>
      <c r="K21" s="19">
        <v>5</v>
      </c>
      <c r="L21" s="19">
        <v>27.5</v>
      </c>
      <c r="M21" s="22">
        <v>4</v>
      </c>
      <c r="N21" s="19">
        <v>3.5</v>
      </c>
      <c r="O21" s="23">
        <v>0.023333333333333334</v>
      </c>
    </row>
    <row r="22" spans="1:15" x14ac:dyDescent="0.25">
      <c r="A22" s="20" t="s">
        <v>55</v>
      </c>
      <c r="B22" s="20" t="s">
        <v>35</v>
      </c>
      <c r="C22" s="21" t="s">
        <v>24</v>
      </c>
      <c r="D22" s="21">
        <v>7</v>
      </c>
      <c r="E22" s="21" t="s">
        <v>24</v>
      </c>
      <c r="F22" s="21" t="s">
        <v>24</v>
      </c>
      <c r="G22" s="21" t="s">
        <v>24</v>
      </c>
      <c r="H22" s="21" t="s">
        <v>24</v>
      </c>
      <c r="I22" s="21">
        <v>20</v>
      </c>
      <c r="J22" s="21" t="s">
        <v>24</v>
      </c>
      <c r="K22" s="21" t="s">
        <v>24</v>
      </c>
      <c r="L22" s="21">
        <v>27</v>
      </c>
      <c r="M22" s="24">
        <v>2</v>
      </c>
      <c r="N22" s="21">
        <v>3.5</v>
      </c>
      <c r="O22" s="25">
        <v>0.023333333333333334</v>
      </c>
    </row>
    <row r="23" spans="1:15" x14ac:dyDescent="0.25">
      <c r="A23" s="18" t="s">
        <v>56</v>
      </c>
      <c r="B23" s="18" t="s">
        <v>57</v>
      </c>
      <c r="C23" s="19">
        <v>15</v>
      </c>
      <c r="D23" s="19" t="s">
        <v>24</v>
      </c>
      <c r="E23" s="19" t="s">
        <v>24</v>
      </c>
      <c r="F23" s="19">
        <v>10</v>
      </c>
      <c r="G23" s="19" t="s">
        <v>24</v>
      </c>
      <c r="H23" s="19" t="s">
        <v>24</v>
      </c>
      <c r="I23" s="19" t="s">
        <v>24</v>
      </c>
      <c r="J23" s="19" t="s">
        <v>24</v>
      </c>
      <c r="K23" s="19" t="s">
        <v>24</v>
      </c>
      <c r="L23" s="19">
        <v>25</v>
      </c>
      <c r="M23" s="22">
        <v>2</v>
      </c>
      <c r="N23" s="19">
        <v>3.2</v>
      </c>
      <c r="O23" s="23">
        <v>0.021333333333333336</v>
      </c>
    </row>
    <row r="24" spans="1:15" x14ac:dyDescent="0.25">
      <c r="A24" s="20" t="s">
        <v>58</v>
      </c>
      <c r="B24" s="20" t="s">
        <v>59</v>
      </c>
      <c r="C24" s="21" t="s">
        <v>24</v>
      </c>
      <c r="D24" s="21" t="s">
        <v>24</v>
      </c>
      <c r="E24" s="21" t="s">
        <v>24</v>
      </c>
      <c r="F24" s="21" t="s">
        <v>24</v>
      </c>
      <c r="G24" s="21" t="s">
        <v>24</v>
      </c>
      <c r="H24" s="21" t="s">
        <v>24</v>
      </c>
      <c r="I24" s="21">
        <v>25</v>
      </c>
      <c r="J24" s="21" t="s">
        <v>24</v>
      </c>
      <c r="K24" s="21" t="s">
        <v>24</v>
      </c>
      <c r="L24" s="21">
        <v>25</v>
      </c>
      <c r="M24" s="24">
        <v>1</v>
      </c>
      <c r="N24" s="21">
        <v>3.2</v>
      </c>
      <c r="O24" s="25">
        <v>0.021333333333333336</v>
      </c>
    </row>
    <row r="25" spans="1:15" x14ac:dyDescent="0.25">
      <c r="A25" s="18" t="s">
        <v>60</v>
      </c>
      <c r="B25" s="18" t="s">
        <v>61</v>
      </c>
      <c r="C25" s="19" t="s">
        <v>24</v>
      </c>
      <c r="D25" s="19" t="s">
        <v>24</v>
      </c>
      <c r="E25" s="19" t="s">
        <v>24</v>
      </c>
      <c r="F25" s="19">
        <v>20</v>
      </c>
      <c r="G25" s="19" t="s">
        <v>24</v>
      </c>
      <c r="H25" s="19" t="s">
        <v>24</v>
      </c>
      <c r="I25" s="19" t="s">
        <v>24</v>
      </c>
      <c r="J25" s="19" t="s">
        <v>24</v>
      </c>
      <c r="K25" s="19" t="s">
        <v>24</v>
      </c>
      <c r="L25" s="19">
        <v>20</v>
      </c>
      <c r="M25" s="22">
        <v>1</v>
      </c>
      <c r="N25" s="19">
        <v>2.6</v>
      </c>
      <c r="O25" s="23">
        <v>0.017333333333333333</v>
      </c>
    </row>
    <row r="26" spans="1:15" x14ac:dyDescent="0.25">
      <c r="A26" s="20" t="s">
        <v>62</v>
      </c>
      <c r="B26" s="20" t="s">
        <v>40</v>
      </c>
      <c r="C26" s="21" t="s">
        <v>24</v>
      </c>
      <c r="D26" s="21" t="s">
        <v>24</v>
      </c>
      <c r="E26" s="21" t="s">
        <v>24</v>
      </c>
      <c r="F26" s="21" t="s">
        <v>24</v>
      </c>
      <c r="G26" s="21" t="s">
        <v>24</v>
      </c>
      <c r="H26" s="21">
        <v>10</v>
      </c>
      <c r="I26" s="21" t="s">
        <v>24</v>
      </c>
      <c r="J26" s="21" t="s">
        <v>24</v>
      </c>
      <c r="K26" s="21">
        <v>5</v>
      </c>
      <c r="L26" s="21">
        <v>15</v>
      </c>
      <c r="M26" s="24">
        <v>2</v>
      </c>
      <c r="N26" s="21">
        <v>1.9</v>
      </c>
      <c r="O26" s="25">
        <v>0.012666666666666666</v>
      </c>
    </row>
    <row r="27" spans="1:15" x14ac:dyDescent="0.25">
      <c r="A27" s="18" t="s">
        <v>63</v>
      </c>
      <c r="B27" s="18" t="s">
        <v>51</v>
      </c>
      <c r="C27" s="19">
        <v>15</v>
      </c>
      <c r="D27" s="19" t="s">
        <v>24</v>
      </c>
      <c r="E27" s="19" t="s">
        <v>24</v>
      </c>
      <c r="F27" s="19" t="s">
        <v>24</v>
      </c>
      <c r="G27" s="19" t="s">
        <v>24</v>
      </c>
      <c r="H27" s="19" t="s">
        <v>24</v>
      </c>
      <c r="I27" s="19" t="s">
        <v>24</v>
      </c>
      <c r="J27" s="19" t="s">
        <v>24</v>
      </c>
      <c r="K27" s="19" t="s">
        <v>24</v>
      </c>
      <c r="L27" s="19">
        <v>15</v>
      </c>
      <c r="M27" s="22">
        <v>1</v>
      </c>
      <c r="N27" s="19">
        <v>1.9</v>
      </c>
      <c r="O27" s="23">
        <v>0.012666666666666666</v>
      </c>
    </row>
    <row r="28" spans="1:15" x14ac:dyDescent="0.25">
      <c r="A28" s="20" t="s">
        <v>64</v>
      </c>
      <c r="B28" s="20" t="s">
        <v>65</v>
      </c>
      <c r="C28" s="21">
        <v>15</v>
      </c>
      <c r="D28" s="21" t="s">
        <v>24</v>
      </c>
      <c r="E28" s="21" t="s">
        <v>24</v>
      </c>
      <c r="F28" s="21" t="s">
        <v>24</v>
      </c>
      <c r="G28" s="21" t="s">
        <v>24</v>
      </c>
      <c r="H28" s="21" t="s">
        <v>24</v>
      </c>
      <c r="I28" s="21" t="s">
        <v>24</v>
      </c>
      <c r="J28" s="21" t="s">
        <v>24</v>
      </c>
      <c r="K28" s="21" t="s">
        <v>24</v>
      </c>
      <c r="L28" s="21">
        <v>15</v>
      </c>
      <c r="M28" s="24">
        <v>1</v>
      </c>
      <c r="N28" s="21">
        <v>1.9</v>
      </c>
      <c r="O28" s="25">
        <v>0.012666666666666666</v>
      </c>
    </row>
    <row r="29" spans="1:15" x14ac:dyDescent="0.25">
      <c r="A29" s="18" t="s">
        <v>66</v>
      </c>
      <c r="B29" s="18" t="s">
        <v>67</v>
      </c>
      <c r="C29" s="19" t="s">
        <v>24</v>
      </c>
      <c r="D29" s="19" t="s">
        <v>24</v>
      </c>
      <c r="E29" s="19" t="s">
        <v>24</v>
      </c>
      <c r="F29" s="19" t="s">
        <v>24</v>
      </c>
      <c r="G29" s="19" t="s">
        <v>24</v>
      </c>
      <c r="H29" s="19" t="s">
        <v>24</v>
      </c>
      <c r="I29" s="19" t="s">
        <v>24</v>
      </c>
      <c r="J29" s="19">
        <v>15</v>
      </c>
      <c r="K29" s="19" t="s">
        <v>24</v>
      </c>
      <c r="L29" s="19">
        <v>15</v>
      </c>
      <c r="M29" s="22">
        <v>1</v>
      </c>
      <c r="N29" s="19">
        <v>1.9</v>
      </c>
      <c r="O29" s="23">
        <v>0.012666666666666666</v>
      </c>
    </row>
    <row r="30" spans="1:15" x14ac:dyDescent="0.25">
      <c r="A30" s="20" t="s">
        <v>68</v>
      </c>
      <c r="B30" s="20" t="s">
        <v>28</v>
      </c>
      <c r="C30" s="21" t="s">
        <v>24</v>
      </c>
      <c r="D30" s="21" t="s">
        <v>24</v>
      </c>
      <c r="E30" s="21">
        <v>12</v>
      </c>
      <c r="F30" s="21" t="s">
        <v>24</v>
      </c>
      <c r="G30" s="21" t="s">
        <v>24</v>
      </c>
      <c r="H30" s="21" t="s">
        <v>24</v>
      </c>
      <c r="I30" s="21" t="s">
        <v>24</v>
      </c>
      <c r="J30" s="21" t="s">
        <v>24</v>
      </c>
      <c r="K30" s="21" t="s">
        <v>24</v>
      </c>
      <c r="L30" s="21">
        <v>12</v>
      </c>
      <c r="M30" s="24">
        <v>1</v>
      </c>
      <c r="N30" s="21">
        <v>1.5</v>
      </c>
      <c r="O30" s="25">
        <v>0.01</v>
      </c>
    </row>
    <row r="31" spans="1:15" x14ac:dyDescent="0.25">
      <c r="A31" s="18" t="s">
        <v>69</v>
      </c>
      <c r="B31" s="18" t="s">
        <v>28</v>
      </c>
      <c r="C31" s="19" t="s">
        <v>24</v>
      </c>
      <c r="D31" s="19" t="s">
        <v>24</v>
      </c>
      <c r="E31" s="19">
        <v>12</v>
      </c>
      <c r="F31" s="19" t="s">
        <v>24</v>
      </c>
      <c r="G31" s="19" t="s">
        <v>24</v>
      </c>
      <c r="H31" s="19" t="s">
        <v>24</v>
      </c>
      <c r="I31" s="19" t="s">
        <v>24</v>
      </c>
      <c r="J31" s="19" t="s">
        <v>24</v>
      </c>
      <c r="K31" s="19" t="s">
        <v>24</v>
      </c>
      <c r="L31" s="19">
        <v>12</v>
      </c>
      <c r="M31" s="22">
        <v>1</v>
      </c>
      <c r="N31" s="19">
        <v>1.5</v>
      </c>
      <c r="O31" s="23">
        <v>0.01</v>
      </c>
    </row>
    <row r="32" spans="1:15" x14ac:dyDescent="0.25">
      <c r="A32" s="20" t="s">
        <v>70</v>
      </c>
      <c r="B32" s="20" t="s">
        <v>71</v>
      </c>
      <c r="C32" s="21" t="s">
        <v>24</v>
      </c>
      <c r="D32" s="21" t="s">
        <v>24</v>
      </c>
      <c r="E32" s="21">
        <v>10</v>
      </c>
      <c r="F32" s="21" t="s">
        <v>24</v>
      </c>
      <c r="G32" s="21" t="s">
        <v>24</v>
      </c>
      <c r="H32" s="21" t="s">
        <v>24</v>
      </c>
      <c r="I32" s="21" t="s">
        <v>24</v>
      </c>
      <c r="J32" s="21" t="s">
        <v>24</v>
      </c>
      <c r="K32" s="21" t="s">
        <v>24</v>
      </c>
      <c r="L32" s="21">
        <v>10</v>
      </c>
      <c r="M32" s="24">
        <v>1</v>
      </c>
      <c r="N32" s="21">
        <v>1.3</v>
      </c>
      <c r="O32" s="25">
        <v>0.008666666666666666</v>
      </c>
    </row>
    <row r="33" spans="1:15" x14ac:dyDescent="0.25">
      <c r="A33" s="18" t="s">
        <v>72</v>
      </c>
      <c r="B33" s="18" t="s">
        <v>28</v>
      </c>
      <c r="C33" s="19" t="s">
        <v>24</v>
      </c>
      <c r="D33" s="19" t="s">
        <v>24</v>
      </c>
      <c r="E33" s="19" t="s">
        <v>24</v>
      </c>
      <c r="F33" s="19" t="s">
        <v>24</v>
      </c>
      <c r="G33" s="19" t="s">
        <v>24</v>
      </c>
      <c r="H33" s="19" t="s">
        <v>24</v>
      </c>
      <c r="I33" s="19" t="s">
        <v>24</v>
      </c>
      <c r="J33" s="19">
        <v>10</v>
      </c>
      <c r="K33" s="19" t="s">
        <v>24</v>
      </c>
      <c r="L33" s="19">
        <v>10</v>
      </c>
      <c r="M33" s="22">
        <v>1</v>
      </c>
      <c r="N33" s="19">
        <v>1.3</v>
      </c>
      <c r="O33" s="23">
        <v>0.008666666666666666</v>
      </c>
    </row>
    <row r="34" spans="1:15" x14ac:dyDescent="0.25">
      <c r="A34" s="20" t="s">
        <v>73</v>
      </c>
      <c r="B34" s="20" t="s">
        <v>51</v>
      </c>
      <c r="C34" s="21" t="s">
        <v>24</v>
      </c>
      <c r="D34" s="21">
        <v>10</v>
      </c>
      <c r="E34" s="21" t="s">
        <v>24</v>
      </c>
      <c r="F34" s="21" t="s">
        <v>24</v>
      </c>
      <c r="G34" s="21" t="s">
        <v>24</v>
      </c>
      <c r="H34" s="21" t="s">
        <v>24</v>
      </c>
      <c r="I34" s="21" t="s">
        <v>24</v>
      </c>
      <c r="J34" s="21" t="s">
        <v>24</v>
      </c>
      <c r="K34" s="21" t="s">
        <v>24</v>
      </c>
      <c r="L34" s="21">
        <v>10</v>
      </c>
      <c r="M34" s="24">
        <v>1</v>
      </c>
      <c r="N34" s="21">
        <v>1.3</v>
      </c>
      <c r="O34" s="25">
        <v>0.008666666666666666</v>
      </c>
    </row>
    <row r="35" spans="1:15" x14ac:dyDescent="0.25">
      <c r="A35" s="18" t="s">
        <v>74</v>
      </c>
      <c r="B35" s="18" t="s">
        <v>40</v>
      </c>
      <c r="C35" s="19" t="s">
        <v>24</v>
      </c>
      <c r="D35" s="19" t="s">
        <v>24</v>
      </c>
      <c r="E35" s="19" t="s">
        <v>24</v>
      </c>
      <c r="F35" s="19" t="s">
        <v>24</v>
      </c>
      <c r="G35" s="19">
        <v>9</v>
      </c>
      <c r="H35" s="19" t="s">
        <v>24</v>
      </c>
      <c r="I35" s="19" t="s">
        <v>24</v>
      </c>
      <c r="J35" s="19" t="s">
        <v>24</v>
      </c>
      <c r="K35" s="19" t="s">
        <v>24</v>
      </c>
      <c r="L35" s="19">
        <v>9</v>
      </c>
      <c r="M35" s="22">
        <v>1</v>
      </c>
      <c r="N35" s="19">
        <v>1.2</v>
      </c>
      <c r="O35" s="23">
        <v>0.008</v>
      </c>
    </row>
    <row r="36" ht="22" customHeight="1" spans="1:15" x14ac:dyDescent="0.25">
      <c r="A36" s="12" t="s">
        <v>129</v>
      </c>
      <c r="B36" s="12" t="s">
        <v>24</v>
      </c>
      <c r="C36" s="13">
        <v>150</v>
      </c>
      <c r="D36" s="13">
        <v>150</v>
      </c>
      <c r="E36" s="13">
        <v>150</v>
      </c>
      <c r="F36" s="13">
        <v>100</v>
      </c>
      <c r="G36" s="13">
        <v>90.7</v>
      </c>
      <c r="H36" s="13">
        <v>120</v>
      </c>
      <c r="I36" s="13">
        <v>150</v>
      </c>
      <c r="J36" s="13">
        <v>145</v>
      </c>
      <c r="K36" s="13">
        <v>115</v>
      </c>
      <c r="L36" s="13">
        <v>1170.7</v>
      </c>
      <c r="M36" s="26" t="s">
        <v>24</v>
      </c>
      <c r="N36" s="13">
        <v>150</v>
      </c>
      <c r="O36" s="14">
        <v>1</v>
      </c>
    </row>
    <row r="37" spans="1:1" s="27" customFormat="1" x14ac:dyDescent="0.25">
      <c r="A37" s="27" t="s">
        <v>130</v>
      </c>
    </row>
  </sheetData>
  <mergeCells count="1">
    <mergeCell ref="A1:O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6"/>
  <sheetViews>
    <sheetView workbookViewId="0">
      <pane ySplit="2" topLeftCell="A3" activePane="bottomLeft" state="frozen"/>
      <selection pane="bottomLeft"/>
    </sheetView>
  </sheetViews>
  <sheetFormatPr defaultRowHeight="15" outlineLevelRow="0" outlineLevelCol="0" x14ac:dyDescent="55"/>
  <cols>
    <col min="1" max="1" width="5" customWidth="1"/>
    <col min="2" max="2" width="26" customWidth="1"/>
    <col min="3" max="3" width="22" customWidth="1"/>
    <col min="4" max="4" width="12" customWidth="1"/>
    <col min="6" max="6" width="12" customWidth="1"/>
    <col min="7" max="7" width="10" customWidth="1"/>
    <col min="8" max="8" width="12" customWidth="1"/>
    <col min="9" max="9" width="11" customWidth="1"/>
    <col min="10" max="10" width="14" customWidth="1"/>
    <col min="11" max="11" width="7" customWidth="1"/>
    <col min="12" max="12" width="10" customWidth="1"/>
    <col min="13" max="18" width="8" customWidth="1"/>
    <col min="19" max="19" width="15" customWidth="1"/>
    <col min="20" max="20" width="14" customWidth="1"/>
    <col min="21" max="21" width="50" customWidth="1"/>
  </cols>
  <sheetData>
    <row r="1" ht="26" customHeight="1" spans="1:21" x14ac:dyDescent="0.25">
      <c r="A1" s="16" t="s">
        <v>131</v>
      </c>
      <c r="B1" s="16"/>
      <c r="C1" s="16"/>
      <c r="D1" s="16"/>
      <c r="E1" s="16"/>
      <c r="F1" s="16"/>
      <c r="G1" s="16"/>
      <c r="H1" s="16"/>
      <c r="I1" s="16"/>
      <c r="J1" s="16"/>
      <c r="K1" s="16"/>
      <c r="L1" s="16"/>
      <c r="M1" s="16"/>
      <c r="N1" s="16"/>
      <c r="O1" s="16"/>
      <c r="P1" s="16"/>
      <c r="Q1" s="16"/>
      <c r="R1" s="16"/>
      <c r="S1" s="16"/>
      <c r="T1" s="16"/>
      <c r="U1" s="16"/>
    </row>
    <row r="2" ht="30" customHeight="1" spans="1:21" x14ac:dyDescent="0.25">
      <c r="A2" s="17" t="s">
        <v>10</v>
      </c>
      <c r="B2" s="17" t="s">
        <v>11</v>
      </c>
      <c r="C2" s="17" t="s">
        <v>12</v>
      </c>
      <c r="D2" s="17" t="s">
        <v>127</v>
      </c>
      <c r="E2" s="17" t="s">
        <v>128</v>
      </c>
      <c r="F2" s="17" t="s">
        <v>132</v>
      </c>
      <c r="G2" s="17" t="s">
        <v>133</v>
      </c>
      <c r="H2" s="17" t="s">
        <v>134</v>
      </c>
      <c r="I2" s="17" t="s">
        <v>135</v>
      </c>
      <c r="J2" s="17" t="s">
        <v>136</v>
      </c>
      <c r="K2" s="17" t="s">
        <v>137</v>
      </c>
      <c r="L2" s="17" t="s">
        <v>138</v>
      </c>
      <c r="M2" s="17" t="s">
        <v>139</v>
      </c>
      <c r="N2" s="17" t="s">
        <v>140</v>
      </c>
      <c r="O2" s="17" t="s">
        <v>141</v>
      </c>
      <c r="P2" s="17" t="s">
        <v>142</v>
      </c>
      <c r="Q2" s="17" t="s">
        <v>143</v>
      </c>
      <c r="R2" s="17" t="s">
        <v>21</v>
      </c>
      <c r="S2" s="17" t="s">
        <v>144</v>
      </c>
      <c r="T2" s="17" t="s">
        <v>145</v>
      </c>
      <c r="U2" s="17" t="s">
        <v>84</v>
      </c>
    </row>
    <row r="3" spans="1:21" x14ac:dyDescent="0.25">
      <c r="A3" s="22">
        <v>1</v>
      </c>
      <c r="B3" s="18" t="s">
        <v>22</v>
      </c>
      <c r="C3" s="18" t="s">
        <v>23</v>
      </c>
      <c r="D3" s="19">
        <v>12</v>
      </c>
      <c r="E3" s="23">
        <v>0.08</v>
      </c>
      <c r="F3" s="19">
        <v>12.7</v>
      </c>
      <c r="G3" s="23">
        <v>0.08466666666666667</v>
      </c>
      <c r="H3" s="28">
        <v>-0.7</v>
      </c>
      <c r="I3" s="22">
        <v>4</v>
      </c>
      <c r="J3" s="19">
        <v>28.15067590240161</v>
      </c>
      <c r="K3" s="22" t="s">
        <v>146</v>
      </c>
      <c r="L3" s="29">
        <v>148.6</v>
      </c>
      <c r="M3" s="23" t="s">
        <v>24</v>
      </c>
      <c r="N3" s="23">
        <v>0.25</v>
      </c>
      <c r="O3" s="23" t="s">
        <v>24</v>
      </c>
      <c r="P3" s="23">
        <v>0.48</v>
      </c>
      <c r="Q3" s="23">
        <v>0.74</v>
      </c>
      <c r="R3" s="30" t="s">
        <v>24</v>
      </c>
      <c r="S3" s="18" t="s">
        <v>147</v>
      </c>
      <c r="T3" s="18" t="s">
        <v>148</v>
      </c>
      <c r="U3" s="18" t="s">
        <v>24</v>
      </c>
    </row>
    <row r="4" spans="1:21" x14ac:dyDescent="0.25">
      <c r="A4" s="24">
        <v>2</v>
      </c>
      <c r="B4" s="20" t="s">
        <v>25</v>
      </c>
      <c r="C4" s="20" t="s">
        <v>26</v>
      </c>
      <c r="D4" s="21">
        <v>9.9</v>
      </c>
      <c r="E4" s="25">
        <v>0.066</v>
      </c>
      <c r="F4" s="21">
        <v>9.6</v>
      </c>
      <c r="G4" s="25">
        <v>0.064</v>
      </c>
      <c r="H4" s="31">
        <v>0.3</v>
      </c>
      <c r="I4" s="24">
        <v>6</v>
      </c>
      <c r="J4" s="21">
        <v>14.372188905547226</v>
      </c>
      <c r="K4" s="24" t="s">
        <v>149</v>
      </c>
      <c r="L4" s="32">
        <v>268.86</v>
      </c>
      <c r="M4" s="25">
        <v>-0.07</v>
      </c>
      <c r="N4" s="25">
        <v>0.11</v>
      </c>
      <c r="O4" s="25">
        <v>0.28</v>
      </c>
      <c r="P4" s="25">
        <v>0.31</v>
      </c>
      <c r="Q4" s="25">
        <v>0.54</v>
      </c>
      <c r="R4" s="33">
        <v>1.6</v>
      </c>
      <c r="S4" s="20" t="s">
        <v>150</v>
      </c>
      <c r="T4" s="20" t="s">
        <v>151</v>
      </c>
      <c r="U4" s="20" t="s">
        <v>24</v>
      </c>
    </row>
    <row r="5" spans="1:21" x14ac:dyDescent="0.25">
      <c r="A5" s="22">
        <v>3</v>
      </c>
      <c r="B5" s="18" t="s">
        <v>27</v>
      </c>
      <c r="C5" s="18" t="s">
        <v>28</v>
      </c>
      <c r="D5" s="19">
        <v>9.9</v>
      </c>
      <c r="E5" s="23">
        <v>0.066</v>
      </c>
      <c r="F5" s="19">
        <v>9.7</v>
      </c>
      <c r="G5" s="23">
        <v>0.06466666666666666</v>
      </c>
      <c r="H5" s="34">
        <v>0.2</v>
      </c>
      <c r="I5" s="22">
        <v>4</v>
      </c>
      <c r="J5" s="19">
        <v>21.92241379310345</v>
      </c>
      <c r="K5" s="22" t="s">
        <v>149</v>
      </c>
      <c r="L5" s="29">
        <v>1227.8</v>
      </c>
      <c r="M5" s="23">
        <v>-0.13</v>
      </c>
      <c r="N5" s="23">
        <v>-0.04</v>
      </c>
      <c r="O5" s="23">
        <v>0.05</v>
      </c>
      <c r="P5" s="23">
        <v>0.11</v>
      </c>
      <c r="Q5" s="23">
        <v>0.28</v>
      </c>
      <c r="R5" s="30" t="s">
        <v>29</v>
      </c>
      <c r="S5" s="18" t="s">
        <v>152</v>
      </c>
      <c r="T5" s="18" t="s">
        <v>151</v>
      </c>
      <c r="U5" s="18" t="s">
        <v>24</v>
      </c>
    </row>
    <row r="6" spans="1:21" x14ac:dyDescent="0.25">
      <c r="A6" s="24">
        <v>4</v>
      </c>
      <c r="B6" s="20" t="s">
        <v>30</v>
      </c>
      <c r="C6" s="20" t="s">
        <v>31</v>
      </c>
      <c r="D6" s="21">
        <v>9</v>
      </c>
      <c r="E6" s="25">
        <v>0.06</v>
      </c>
      <c r="F6" s="21">
        <v>10.2</v>
      </c>
      <c r="G6" s="25">
        <v>0.06799999999999999</v>
      </c>
      <c r="H6" s="35">
        <v>-1.2</v>
      </c>
      <c r="I6" s="24">
        <v>5</v>
      </c>
      <c r="J6" s="21">
        <v>18.327358922523302</v>
      </c>
      <c r="K6" s="24" t="s">
        <v>149</v>
      </c>
      <c r="L6" s="32">
        <v>258.3</v>
      </c>
      <c r="M6" s="25">
        <v>0.06</v>
      </c>
      <c r="N6" s="25">
        <v>0.22</v>
      </c>
      <c r="O6" s="25">
        <v>0.38</v>
      </c>
      <c r="P6" s="25">
        <v>0.47</v>
      </c>
      <c r="Q6" s="25">
        <v>0.77</v>
      </c>
      <c r="R6" s="33" t="s">
        <v>32</v>
      </c>
      <c r="S6" s="20" t="s">
        <v>153</v>
      </c>
      <c r="T6" s="20" t="s">
        <v>151</v>
      </c>
      <c r="U6" s="20" t="s">
        <v>24</v>
      </c>
    </row>
    <row r="7" spans="1:21" x14ac:dyDescent="0.25">
      <c r="A7" s="22">
        <v>5</v>
      </c>
      <c r="B7" s="18" t="s">
        <v>33</v>
      </c>
      <c r="C7" s="18" t="s">
        <v>28</v>
      </c>
      <c r="D7" s="19">
        <v>8.4</v>
      </c>
      <c r="E7" s="23">
        <v>0.056</v>
      </c>
      <c r="F7" s="19">
        <v>8.4</v>
      </c>
      <c r="G7" s="23">
        <v>0.056</v>
      </c>
      <c r="H7" s="36">
        <v>0</v>
      </c>
      <c r="I7" s="22">
        <v>6</v>
      </c>
      <c r="J7" s="19">
        <v>12.657426937027628</v>
      </c>
      <c r="K7" s="22" t="s">
        <v>149</v>
      </c>
      <c r="L7" s="29">
        <v>1399.4</v>
      </c>
      <c r="M7" s="23">
        <v>0.03</v>
      </c>
      <c r="N7" s="23">
        <v>0.08</v>
      </c>
      <c r="O7" s="23">
        <v>0.14</v>
      </c>
      <c r="P7" s="23">
        <v>0.26</v>
      </c>
      <c r="Q7" s="23">
        <v>0.48</v>
      </c>
      <c r="R7" s="30" t="s">
        <v>32</v>
      </c>
      <c r="S7" s="18" t="s">
        <v>154</v>
      </c>
      <c r="T7" s="18" t="s">
        <v>151</v>
      </c>
      <c r="U7" s="18" t="s">
        <v>24</v>
      </c>
    </row>
    <row r="8" spans="1:21" x14ac:dyDescent="0.25">
      <c r="A8" s="24">
        <v>6</v>
      </c>
      <c r="B8" s="20" t="s">
        <v>34</v>
      </c>
      <c r="C8" s="20" t="s">
        <v>35</v>
      </c>
      <c r="D8" s="21">
        <v>7.9</v>
      </c>
      <c r="E8" s="25">
        <v>0.05266666666666667</v>
      </c>
      <c r="F8" s="21">
        <v>7.7</v>
      </c>
      <c r="G8" s="25">
        <v>0.051333333333333335</v>
      </c>
      <c r="H8" s="31">
        <v>0.2</v>
      </c>
      <c r="I8" s="24">
        <v>5</v>
      </c>
      <c r="J8" s="21">
        <v>13.780705622932746</v>
      </c>
      <c r="K8" s="24" t="s">
        <v>146</v>
      </c>
      <c r="L8" s="32">
        <v>1435.1</v>
      </c>
      <c r="M8" s="25" t="s">
        <v>24</v>
      </c>
      <c r="N8" s="25" t="s">
        <v>24</v>
      </c>
      <c r="O8" s="25" t="s">
        <v>24</v>
      </c>
      <c r="P8" s="25">
        <v>0.27</v>
      </c>
      <c r="Q8" s="25">
        <v>0.5</v>
      </c>
      <c r="R8" s="33" t="s">
        <v>24</v>
      </c>
      <c r="S8" s="20" t="s">
        <v>155</v>
      </c>
      <c r="T8" s="20" t="s">
        <v>156</v>
      </c>
      <c r="U8" s="20" t="s">
        <v>24</v>
      </c>
    </row>
    <row r="9" spans="1:21" x14ac:dyDescent="0.25">
      <c r="A9" s="22">
        <v>7</v>
      </c>
      <c r="B9" s="18" t="s">
        <v>36</v>
      </c>
      <c r="C9" s="18" t="s">
        <v>31</v>
      </c>
      <c r="D9" s="19">
        <v>7.7</v>
      </c>
      <c r="E9" s="23">
        <v>0.051333333333333335</v>
      </c>
      <c r="F9" s="19">
        <v>7.8</v>
      </c>
      <c r="G9" s="23">
        <v>0.052</v>
      </c>
      <c r="H9" s="28">
        <v>-0.1</v>
      </c>
      <c r="I9" s="22">
        <v>4</v>
      </c>
      <c r="J9" s="19">
        <v>17.586206896551722</v>
      </c>
      <c r="K9" s="22" t="s">
        <v>149</v>
      </c>
      <c r="L9" s="29">
        <v>2726.8</v>
      </c>
      <c r="M9" s="23">
        <v>-0.09</v>
      </c>
      <c r="N9" s="23">
        <v>0.01</v>
      </c>
      <c r="O9" s="23">
        <v>0.12</v>
      </c>
      <c r="P9" s="23">
        <v>0.25</v>
      </c>
      <c r="Q9" s="23">
        <v>0.55</v>
      </c>
      <c r="R9" s="30">
        <v>0.1</v>
      </c>
      <c r="S9" s="18" t="s">
        <v>157</v>
      </c>
      <c r="T9" s="18" t="s">
        <v>151</v>
      </c>
      <c r="U9" s="18" t="s">
        <v>24</v>
      </c>
    </row>
    <row r="10" spans="1:21" x14ac:dyDescent="0.25">
      <c r="A10" s="24">
        <v>8</v>
      </c>
      <c r="B10" s="20" t="s">
        <v>37</v>
      </c>
      <c r="C10" s="20" t="s">
        <v>38</v>
      </c>
      <c r="D10" s="21">
        <v>6.9</v>
      </c>
      <c r="E10" s="25">
        <v>0.046</v>
      </c>
      <c r="F10" s="21">
        <v>7.9</v>
      </c>
      <c r="G10" s="25">
        <v>0.05266666666666667</v>
      </c>
      <c r="H10" s="35">
        <v>-1</v>
      </c>
      <c r="I10" s="24">
        <v>3</v>
      </c>
      <c r="J10" s="21">
        <v>23.81777000143809</v>
      </c>
      <c r="K10" s="24" t="s">
        <v>146</v>
      </c>
      <c r="L10" s="32">
        <v>95.9</v>
      </c>
      <c r="M10" s="25" t="s">
        <v>24</v>
      </c>
      <c r="N10" s="25" t="s">
        <v>24</v>
      </c>
      <c r="O10" s="25" t="s">
        <v>24</v>
      </c>
      <c r="P10" s="25">
        <v>0.3</v>
      </c>
      <c r="Q10" s="25">
        <v>0.55</v>
      </c>
      <c r="R10" s="33" t="s">
        <v>24</v>
      </c>
      <c r="S10" s="20" t="s">
        <v>158</v>
      </c>
      <c r="T10" s="20" t="s">
        <v>156</v>
      </c>
      <c r="U10" s="20" t="s">
        <v>159</v>
      </c>
    </row>
    <row r="11" spans="1:21" x14ac:dyDescent="0.25">
      <c r="A11" s="22">
        <v>9</v>
      </c>
      <c r="B11" s="18" t="s">
        <v>39</v>
      </c>
      <c r="C11" s="18" t="s">
        <v>40</v>
      </c>
      <c r="D11" s="19">
        <v>6.4</v>
      </c>
      <c r="E11" s="23">
        <v>0.04266666666666667</v>
      </c>
      <c r="F11" s="19">
        <v>6.2</v>
      </c>
      <c r="G11" s="23">
        <v>0.04133333333333333</v>
      </c>
      <c r="H11" s="34">
        <v>0.2</v>
      </c>
      <c r="I11" s="22">
        <v>4</v>
      </c>
      <c r="J11" s="19">
        <v>14.058283358320839</v>
      </c>
      <c r="K11" s="22" t="s">
        <v>149</v>
      </c>
      <c r="L11" s="29">
        <v>134.72</v>
      </c>
      <c r="M11" s="23">
        <v>0.05</v>
      </c>
      <c r="N11" s="23">
        <v>0.31</v>
      </c>
      <c r="O11" s="23">
        <v>0.57</v>
      </c>
      <c r="P11" s="23">
        <v>0.41</v>
      </c>
      <c r="Q11" s="23">
        <v>0.53</v>
      </c>
      <c r="R11" s="30" t="s">
        <v>32</v>
      </c>
      <c r="S11" s="18" t="s">
        <v>160</v>
      </c>
      <c r="T11" s="18" t="s">
        <v>151</v>
      </c>
      <c r="U11" s="18" t="s">
        <v>24</v>
      </c>
    </row>
    <row r="12" spans="1:21" x14ac:dyDescent="0.25">
      <c r="A12" s="24">
        <v>10</v>
      </c>
      <c r="B12" s="20" t="s">
        <v>41</v>
      </c>
      <c r="C12" s="20" t="s">
        <v>28</v>
      </c>
      <c r="D12" s="21">
        <v>5.8</v>
      </c>
      <c r="E12" s="25">
        <v>0.03866666666666667</v>
      </c>
      <c r="F12" s="21">
        <v>6.2</v>
      </c>
      <c r="G12" s="25">
        <v>0.04133333333333333</v>
      </c>
      <c r="H12" s="35">
        <v>-0.4</v>
      </c>
      <c r="I12" s="24">
        <v>5</v>
      </c>
      <c r="J12" s="21">
        <v>11.188912324433153</v>
      </c>
      <c r="K12" s="24" t="s">
        <v>149</v>
      </c>
      <c r="L12" s="32">
        <v>1386.7</v>
      </c>
      <c r="M12" s="25">
        <v>-0.05</v>
      </c>
      <c r="N12" s="25">
        <v>0.05</v>
      </c>
      <c r="O12" s="25">
        <v>0.14</v>
      </c>
      <c r="P12" s="25">
        <v>0.21</v>
      </c>
      <c r="Q12" s="25">
        <v>0.4</v>
      </c>
      <c r="R12" s="33">
        <v>1</v>
      </c>
      <c r="S12" s="20" t="s">
        <v>161</v>
      </c>
      <c r="T12" s="20" t="s">
        <v>151</v>
      </c>
      <c r="U12" s="20" t="s">
        <v>24</v>
      </c>
    </row>
    <row r="13" spans="1:21" x14ac:dyDescent="0.25">
      <c r="A13" s="22">
        <v>11</v>
      </c>
      <c r="B13" s="18" t="s">
        <v>42</v>
      </c>
      <c r="C13" s="18" t="s">
        <v>40</v>
      </c>
      <c r="D13" s="19">
        <v>5.8</v>
      </c>
      <c r="E13" s="23">
        <v>0.03866666666666667</v>
      </c>
      <c r="F13" s="19">
        <v>5.6</v>
      </c>
      <c r="G13" s="23">
        <v>0.03733333333333333</v>
      </c>
      <c r="H13" s="34">
        <v>0.2</v>
      </c>
      <c r="I13" s="22">
        <v>3</v>
      </c>
      <c r="J13" s="19">
        <v>16.839080459770116</v>
      </c>
      <c r="K13" s="22" t="s">
        <v>149</v>
      </c>
      <c r="L13" s="29">
        <v>763.25</v>
      </c>
      <c r="M13" s="23">
        <v>0.01</v>
      </c>
      <c r="N13" s="23">
        <v>0.25</v>
      </c>
      <c r="O13" s="23">
        <v>0.49</v>
      </c>
      <c r="P13" s="23">
        <v>0.58</v>
      </c>
      <c r="Q13" s="23">
        <v>0.99</v>
      </c>
      <c r="R13" s="30" t="s">
        <v>32</v>
      </c>
      <c r="S13" s="18" t="s">
        <v>162</v>
      </c>
      <c r="T13" s="18" t="s">
        <v>151</v>
      </c>
      <c r="U13" s="18" t="s">
        <v>24</v>
      </c>
    </row>
    <row r="14" spans="1:21" x14ac:dyDescent="0.25">
      <c r="A14" s="24">
        <v>12</v>
      </c>
      <c r="B14" s="20" t="s">
        <v>43</v>
      </c>
      <c r="C14" s="20" t="s">
        <v>44</v>
      </c>
      <c r="D14" s="21">
        <v>4.5</v>
      </c>
      <c r="E14" s="25">
        <v>0.03</v>
      </c>
      <c r="F14" s="21">
        <v>4.1</v>
      </c>
      <c r="G14" s="25">
        <v>0.02733333333333333</v>
      </c>
      <c r="H14" s="31">
        <v>0.4</v>
      </c>
      <c r="I14" s="24">
        <v>4</v>
      </c>
      <c r="J14" s="21">
        <v>9.21664167916042</v>
      </c>
      <c r="K14" s="24" t="s">
        <v>149</v>
      </c>
      <c r="L14" s="32">
        <v>1920.8</v>
      </c>
      <c r="M14" s="25">
        <v>-0.04</v>
      </c>
      <c r="N14" s="25">
        <v>0.1</v>
      </c>
      <c r="O14" s="25">
        <v>0.25</v>
      </c>
      <c r="P14" s="25">
        <v>0.33</v>
      </c>
      <c r="Q14" s="25">
        <v>0.6</v>
      </c>
      <c r="R14" s="33">
        <v>2.5</v>
      </c>
      <c r="S14" s="20" t="s">
        <v>163</v>
      </c>
      <c r="T14" s="20" t="s">
        <v>151</v>
      </c>
      <c r="U14" s="20" t="s">
        <v>164</v>
      </c>
    </row>
    <row r="15" spans="1:21" x14ac:dyDescent="0.25">
      <c r="A15" s="22">
        <v>13</v>
      </c>
      <c r="B15" s="18" t="s">
        <v>45</v>
      </c>
      <c r="C15" s="18" t="s">
        <v>28</v>
      </c>
      <c r="D15" s="19">
        <v>4.5</v>
      </c>
      <c r="E15" s="23">
        <v>0.03</v>
      </c>
      <c r="F15" s="19">
        <v>4.4</v>
      </c>
      <c r="G15" s="23">
        <v>0.029333333333333336</v>
      </c>
      <c r="H15" s="34">
        <v>0.1</v>
      </c>
      <c r="I15" s="22">
        <v>2</v>
      </c>
      <c r="J15" s="19">
        <v>19.782608695652172</v>
      </c>
      <c r="K15" s="22" t="s">
        <v>146</v>
      </c>
      <c r="L15" s="29">
        <v>278</v>
      </c>
      <c r="M15" s="23" t="s">
        <v>24</v>
      </c>
      <c r="N15" s="23">
        <v>0.41</v>
      </c>
      <c r="O15" s="23" t="s">
        <v>24</v>
      </c>
      <c r="P15" s="23" t="s">
        <v>24</v>
      </c>
      <c r="Q15" s="23" t="s">
        <v>24</v>
      </c>
      <c r="R15" s="30" t="s">
        <v>24</v>
      </c>
      <c r="S15" s="18" t="s">
        <v>165</v>
      </c>
      <c r="T15" s="18" t="s">
        <v>166</v>
      </c>
      <c r="U15" s="18" t="s">
        <v>24</v>
      </c>
    </row>
    <row r="16" spans="1:21" x14ac:dyDescent="0.25">
      <c r="A16" s="24">
        <v>14</v>
      </c>
      <c r="B16" s="20" t="s">
        <v>46</v>
      </c>
      <c r="C16" s="20" t="s">
        <v>47</v>
      </c>
      <c r="D16" s="21">
        <v>4.2</v>
      </c>
      <c r="E16" s="25">
        <v>0.028</v>
      </c>
      <c r="F16" s="21">
        <v>3.7</v>
      </c>
      <c r="G16" s="25">
        <v>0.024666666666666667</v>
      </c>
      <c r="H16" s="31">
        <v>0.5</v>
      </c>
      <c r="I16" s="24">
        <v>2</v>
      </c>
      <c r="J16" s="21">
        <v>16.67241379310345</v>
      </c>
      <c r="K16" s="24" t="s">
        <v>146</v>
      </c>
      <c r="L16" s="32" t="s">
        <v>24</v>
      </c>
      <c r="M16" s="25" t="s">
        <v>24</v>
      </c>
      <c r="N16" s="25" t="s">
        <v>24</v>
      </c>
      <c r="O16" s="25" t="s">
        <v>24</v>
      </c>
      <c r="P16" s="25" t="s">
        <v>24</v>
      </c>
      <c r="Q16" s="25" t="s">
        <v>24</v>
      </c>
      <c r="R16" s="33" t="s">
        <v>24</v>
      </c>
      <c r="S16" s="20" t="s">
        <v>167</v>
      </c>
      <c r="T16" s="20" t="s">
        <v>29</v>
      </c>
      <c r="U16" s="20" t="s">
        <v>24</v>
      </c>
    </row>
    <row r="17" spans="1:21" x14ac:dyDescent="0.25">
      <c r="A17" s="22">
        <v>15</v>
      </c>
      <c r="B17" s="18" t="s">
        <v>48</v>
      </c>
      <c r="C17" s="18" t="s">
        <v>49</v>
      </c>
      <c r="D17" s="19">
        <v>4</v>
      </c>
      <c r="E17" s="23">
        <v>0.02666666666666667</v>
      </c>
      <c r="F17" s="19">
        <v>3.7</v>
      </c>
      <c r="G17" s="23">
        <v>0.024666666666666667</v>
      </c>
      <c r="H17" s="34">
        <v>0.3</v>
      </c>
      <c r="I17" s="22">
        <v>3</v>
      </c>
      <c r="J17" s="19">
        <v>11.007246376811594</v>
      </c>
      <c r="K17" s="22" t="s">
        <v>149</v>
      </c>
      <c r="L17" s="29">
        <v>524.8</v>
      </c>
      <c r="M17" s="23">
        <v>0.15</v>
      </c>
      <c r="N17" s="23">
        <v>0.29</v>
      </c>
      <c r="O17" s="23">
        <v>0.44</v>
      </c>
      <c r="P17" s="23">
        <v>0.55</v>
      </c>
      <c r="Q17" s="23">
        <v>0.86</v>
      </c>
      <c r="R17" s="30" t="s">
        <v>32</v>
      </c>
      <c r="S17" s="18" t="s">
        <v>168</v>
      </c>
      <c r="T17" s="18" t="s">
        <v>151</v>
      </c>
      <c r="U17" s="18" t="s">
        <v>24</v>
      </c>
    </row>
    <row r="18" spans="1:21" x14ac:dyDescent="0.25">
      <c r="A18" s="24">
        <v>16</v>
      </c>
      <c r="B18" s="20" t="s">
        <v>50</v>
      </c>
      <c r="C18" s="20" t="s">
        <v>51</v>
      </c>
      <c r="D18" s="21">
        <v>3.8</v>
      </c>
      <c r="E18" s="25">
        <v>0.025333333333333333</v>
      </c>
      <c r="F18" s="21">
        <v>4.3</v>
      </c>
      <c r="G18" s="25">
        <v>0.028666666666666667</v>
      </c>
      <c r="H18" s="35">
        <v>-0.5</v>
      </c>
      <c r="I18" s="24">
        <v>3</v>
      </c>
      <c r="J18" s="21">
        <v>12.757969416614737</v>
      </c>
      <c r="K18" s="24" t="s">
        <v>149</v>
      </c>
      <c r="L18" s="32">
        <v>503.9</v>
      </c>
      <c r="M18" s="25">
        <v>-0.17</v>
      </c>
      <c r="N18" s="25">
        <v>0.13</v>
      </c>
      <c r="O18" s="25">
        <v>0.43</v>
      </c>
      <c r="P18" s="25">
        <v>0.27</v>
      </c>
      <c r="Q18" s="25">
        <v>0.45</v>
      </c>
      <c r="R18" s="33">
        <v>0.8</v>
      </c>
      <c r="S18" s="20" t="s">
        <v>169</v>
      </c>
      <c r="T18" s="20" t="s">
        <v>151</v>
      </c>
      <c r="U18" s="20" t="s">
        <v>24</v>
      </c>
    </row>
    <row r="19" spans="1:21" x14ac:dyDescent="0.25">
      <c r="A19" s="22">
        <v>17</v>
      </c>
      <c r="B19" s="18" t="s">
        <v>52</v>
      </c>
      <c r="C19" s="18" t="s">
        <v>40</v>
      </c>
      <c r="D19" s="19">
        <v>3.8</v>
      </c>
      <c r="E19" s="23">
        <v>0.025333333333333333</v>
      </c>
      <c r="F19" s="19">
        <v>3.9</v>
      </c>
      <c r="G19" s="23">
        <v>0.026</v>
      </c>
      <c r="H19" s="28">
        <v>-0.1</v>
      </c>
      <c r="I19" s="22">
        <v>2</v>
      </c>
      <c r="J19" s="19">
        <v>17.5</v>
      </c>
      <c r="K19" s="22" t="s">
        <v>146</v>
      </c>
      <c r="L19" s="29" t="s">
        <v>24</v>
      </c>
      <c r="M19" s="23" t="s">
        <v>24</v>
      </c>
      <c r="N19" s="23" t="s">
        <v>24</v>
      </c>
      <c r="O19" s="23" t="s">
        <v>24</v>
      </c>
      <c r="P19" s="23" t="s">
        <v>24</v>
      </c>
      <c r="Q19" s="23" t="s">
        <v>24</v>
      </c>
      <c r="R19" s="30" t="s">
        <v>24</v>
      </c>
      <c r="S19" s="18" t="s">
        <v>170</v>
      </c>
      <c r="T19" s="18" t="s">
        <v>29</v>
      </c>
      <c r="U19" s="18" t="s">
        <v>171</v>
      </c>
    </row>
    <row r="20" spans="1:21" x14ac:dyDescent="0.25">
      <c r="A20" s="24">
        <v>18</v>
      </c>
      <c r="B20" s="20" t="s">
        <v>53</v>
      </c>
      <c r="C20" s="20" t="s">
        <v>38</v>
      </c>
      <c r="D20" s="21">
        <v>3.8</v>
      </c>
      <c r="E20" s="25">
        <v>0.025333333333333333</v>
      </c>
      <c r="F20" s="21">
        <v>3.3</v>
      </c>
      <c r="G20" s="25">
        <v>0.022</v>
      </c>
      <c r="H20" s="31">
        <v>0.5</v>
      </c>
      <c r="I20" s="24">
        <v>1</v>
      </c>
      <c r="J20" s="21">
        <v>30</v>
      </c>
      <c r="K20" s="24" t="s">
        <v>146</v>
      </c>
      <c r="L20" s="32">
        <v>57500</v>
      </c>
      <c r="M20" s="25" t="s">
        <v>24</v>
      </c>
      <c r="N20" s="25">
        <v>0.33</v>
      </c>
      <c r="O20" s="25" t="s">
        <v>24</v>
      </c>
      <c r="P20" s="25" t="s">
        <v>24</v>
      </c>
      <c r="Q20" s="25" t="s">
        <v>24</v>
      </c>
      <c r="R20" s="33" t="s">
        <v>24</v>
      </c>
      <c r="S20" s="20" t="s">
        <v>172</v>
      </c>
      <c r="T20" s="20" t="s">
        <v>166</v>
      </c>
      <c r="U20" s="20" t="s">
        <v>173</v>
      </c>
    </row>
    <row r="21" spans="1:21" x14ac:dyDescent="0.25">
      <c r="A21" s="22">
        <v>19</v>
      </c>
      <c r="B21" s="18" t="s">
        <v>54</v>
      </c>
      <c r="C21" s="18" t="s">
        <v>49</v>
      </c>
      <c r="D21" s="19">
        <v>3.5</v>
      </c>
      <c r="E21" s="23">
        <v>0.023333333333333334</v>
      </c>
      <c r="F21" s="19">
        <v>3.4</v>
      </c>
      <c r="G21" s="23">
        <v>0.022666666666666665</v>
      </c>
      <c r="H21" s="34">
        <v>0.1</v>
      </c>
      <c r="I21" s="22">
        <v>4</v>
      </c>
      <c r="J21" s="19">
        <v>7.66406212549734</v>
      </c>
      <c r="K21" s="22" t="s">
        <v>149</v>
      </c>
      <c r="L21" s="29">
        <v>432.8</v>
      </c>
      <c r="M21" s="23">
        <v>-0.01</v>
      </c>
      <c r="N21" s="23">
        <v>0.24</v>
      </c>
      <c r="O21" s="23">
        <v>0.48</v>
      </c>
      <c r="P21" s="23">
        <v>0.78</v>
      </c>
      <c r="Q21" s="23">
        <v>1.39</v>
      </c>
      <c r="R21" s="30">
        <v>24</v>
      </c>
      <c r="S21" s="18" t="s">
        <v>174</v>
      </c>
      <c r="T21" s="18" t="s">
        <v>151</v>
      </c>
      <c r="U21" s="18" t="s">
        <v>24</v>
      </c>
    </row>
    <row r="22" spans="1:21" x14ac:dyDescent="0.25">
      <c r="A22" s="24">
        <v>20</v>
      </c>
      <c r="B22" s="20" t="s">
        <v>55</v>
      </c>
      <c r="C22" s="20" t="s">
        <v>35</v>
      </c>
      <c r="D22" s="21">
        <v>3.5</v>
      </c>
      <c r="E22" s="25">
        <v>0.023333333333333334</v>
      </c>
      <c r="F22" s="21">
        <v>3</v>
      </c>
      <c r="G22" s="25">
        <v>0.02</v>
      </c>
      <c r="H22" s="31">
        <v>0.5</v>
      </c>
      <c r="I22" s="24">
        <v>2</v>
      </c>
      <c r="J22" s="21">
        <v>13.5</v>
      </c>
      <c r="K22" s="24" t="s">
        <v>146</v>
      </c>
      <c r="L22" s="32" t="s">
        <v>24</v>
      </c>
      <c r="M22" s="25" t="s">
        <v>24</v>
      </c>
      <c r="N22" s="25" t="s">
        <v>24</v>
      </c>
      <c r="O22" s="25" t="s">
        <v>24</v>
      </c>
      <c r="P22" s="25" t="s">
        <v>24</v>
      </c>
      <c r="Q22" s="25" t="s">
        <v>24</v>
      </c>
      <c r="R22" s="33" t="s">
        <v>24</v>
      </c>
      <c r="S22" s="20" t="s">
        <v>175</v>
      </c>
      <c r="T22" s="20" t="s">
        <v>29</v>
      </c>
      <c r="U22" s="20" t="s">
        <v>176</v>
      </c>
    </row>
    <row r="23" spans="1:21" x14ac:dyDescent="0.25">
      <c r="A23" s="22">
        <v>21</v>
      </c>
      <c r="B23" s="18" t="s">
        <v>56</v>
      </c>
      <c r="C23" s="18" t="s">
        <v>57</v>
      </c>
      <c r="D23" s="19">
        <v>3.2</v>
      </c>
      <c r="E23" s="23">
        <v>0.021333333333333336</v>
      </c>
      <c r="F23" s="19">
        <v>3.3</v>
      </c>
      <c r="G23" s="23">
        <v>0.022</v>
      </c>
      <c r="H23" s="28">
        <v>-0.1</v>
      </c>
      <c r="I23" s="22">
        <v>2</v>
      </c>
      <c r="J23" s="19">
        <v>15</v>
      </c>
      <c r="K23" s="22" t="s">
        <v>149</v>
      </c>
      <c r="L23" s="29">
        <v>285.05</v>
      </c>
      <c r="M23" s="23">
        <v>-0.05</v>
      </c>
      <c r="N23" s="23">
        <v>0.14</v>
      </c>
      <c r="O23" s="23">
        <v>0.34</v>
      </c>
      <c r="P23" s="23">
        <v>0.38</v>
      </c>
      <c r="Q23" s="23">
        <v>0.68</v>
      </c>
      <c r="R23" s="30">
        <v>2.8</v>
      </c>
      <c r="S23" s="18" t="s">
        <v>177</v>
      </c>
      <c r="T23" s="18" t="s">
        <v>151</v>
      </c>
      <c r="U23" s="18" t="s">
        <v>24</v>
      </c>
    </row>
    <row r="24" spans="1:21" x14ac:dyDescent="0.25">
      <c r="A24" s="24">
        <v>22</v>
      </c>
      <c r="B24" s="20" t="s">
        <v>58</v>
      </c>
      <c r="C24" s="20" t="s">
        <v>59</v>
      </c>
      <c r="D24" s="21">
        <v>3.2</v>
      </c>
      <c r="E24" s="25">
        <v>0.021333333333333336</v>
      </c>
      <c r="F24" s="21">
        <v>2.8</v>
      </c>
      <c r="G24" s="25">
        <v>0.018666666666666665</v>
      </c>
      <c r="H24" s="31">
        <v>0.4</v>
      </c>
      <c r="I24" s="24">
        <v>1</v>
      </c>
      <c r="J24" s="21">
        <v>25</v>
      </c>
      <c r="K24" s="24" t="s">
        <v>149</v>
      </c>
      <c r="L24" s="32">
        <v>352.75</v>
      </c>
      <c r="M24" s="25">
        <v>-0.04</v>
      </c>
      <c r="N24" s="25">
        <v>0.15</v>
      </c>
      <c r="O24" s="25">
        <v>0.41</v>
      </c>
      <c r="P24" s="25">
        <v>0.16</v>
      </c>
      <c r="Q24" s="25">
        <v>0.25</v>
      </c>
      <c r="R24" s="33">
        <v>3.8</v>
      </c>
      <c r="S24" s="20" t="s">
        <v>178</v>
      </c>
      <c r="T24" s="20" t="s">
        <v>151</v>
      </c>
      <c r="U24" s="20" t="s">
        <v>24</v>
      </c>
    </row>
    <row r="25" spans="1:21" x14ac:dyDescent="0.25">
      <c r="A25" s="22">
        <v>23</v>
      </c>
      <c r="B25" s="18" t="s">
        <v>60</v>
      </c>
      <c r="C25" s="18" t="s">
        <v>61</v>
      </c>
      <c r="D25" s="19">
        <v>2.6</v>
      </c>
      <c r="E25" s="23">
        <v>0.017333333333333333</v>
      </c>
      <c r="F25" s="19">
        <v>3.3</v>
      </c>
      <c r="G25" s="23">
        <v>0.022</v>
      </c>
      <c r="H25" s="28">
        <v>-0.7</v>
      </c>
      <c r="I25" s="22">
        <v>1</v>
      </c>
      <c r="J25" s="19">
        <v>30</v>
      </c>
      <c r="K25" s="22" t="s">
        <v>149</v>
      </c>
      <c r="L25" s="29">
        <v>2051.6</v>
      </c>
      <c r="M25" s="23">
        <v>0.1</v>
      </c>
      <c r="N25" s="23">
        <v>0.2</v>
      </c>
      <c r="O25" s="23">
        <v>0.3</v>
      </c>
      <c r="P25" s="23">
        <v>0.38</v>
      </c>
      <c r="Q25" s="23">
        <v>0.6</v>
      </c>
      <c r="R25" s="30" t="s">
        <v>32</v>
      </c>
      <c r="S25" s="18" t="s">
        <v>179</v>
      </c>
      <c r="T25" s="18" t="s">
        <v>151</v>
      </c>
      <c r="U25" s="18" t="s">
        <v>24</v>
      </c>
    </row>
    <row r="26" spans="1:21" x14ac:dyDescent="0.25">
      <c r="A26" s="24">
        <v>24</v>
      </c>
      <c r="B26" s="20" t="s">
        <v>62</v>
      </c>
      <c r="C26" s="20" t="s">
        <v>40</v>
      </c>
      <c r="D26" s="21">
        <v>1.9</v>
      </c>
      <c r="E26" s="25">
        <v>0.012666666666666666</v>
      </c>
      <c r="F26" s="21">
        <v>2.1</v>
      </c>
      <c r="G26" s="25">
        <v>0.014</v>
      </c>
      <c r="H26" s="35">
        <v>-0.2</v>
      </c>
      <c r="I26" s="24">
        <v>2</v>
      </c>
      <c r="J26" s="21">
        <v>9.51086956521739</v>
      </c>
      <c r="K26" s="24" t="s">
        <v>149</v>
      </c>
      <c r="L26" s="32">
        <v>1011.3</v>
      </c>
      <c r="M26" s="25">
        <v>-0.11</v>
      </c>
      <c r="N26" s="25">
        <v>0.01</v>
      </c>
      <c r="O26" s="25">
        <v>0.16</v>
      </c>
      <c r="P26" s="25">
        <v>0.29</v>
      </c>
      <c r="Q26" s="25">
        <v>0.64</v>
      </c>
      <c r="R26" s="33">
        <v>0.1</v>
      </c>
      <c r="S26" s="20" t="s">
        <v>180</v>
      </c>
      <c r="T26" s="20" t="s">
        <v>151</v>
      </c>
      <c r="U26" s="20" t="s">
        <v>24</v>
      </c>
    </row>
    <row r="27" spans="1:21" x14ac:dyDescent="0.25">
      <c r="A27" s="22">
        <v>25</v>
      </c>
      <c r="B27" s="18" t="s">
        <v>63</v>
      </c>
      <c r="C27" s="18" t="s">
        <v>51</v>
      </c>
      <c r="D27" s="19">
        <v>1.9</v>
      </c>
      <c r="E27" s="23">
        <v>0.012666666666666666</v>
      </c>
      <c r="F27" s="19">
        <v>1.7</v>
      </c>
      <c r="G27" s="23">
        <v>0.011333333333333332</v>
      </c>
      <c r="H27" s="34">
        <v>0.2</v>
      </c>
      <c r="I27" s="22">
        <v>1</v>
      </c>
      <c r="J27" s="19">
        <v>15</v>
      </c>
      <c r="K27" s="22" t="s">
        <v>149</v>
      </c>
      <c r="L27" s="29">
        <v>435.35</v>
      </c>
      <c r="M27" s="23">
        <v>0.08</v>
      </c>
      <c r="N27" s="23">
        <v>0.52</v>
      </c>
      <c r="O27" s="23">
        <v>0.95</v>
      </c>
      <c r="P27" s="23">
        <v>0.74</v>
      </c>
      <c r="Q27" s="23">
        <v>1.02</v>
      </c>
      <c r="R27" s="30" t="s">
        <v>32</v>
      </c>
      <c r="S27" s="18" t="s">
        <v>181</v>
      </c>
      <c r="T27" s="18" t="s">
        <v>151</v>
      </c>
      <c r="U27" s="18" t="s">
        <v>24</v>
      </c>
    </row>
    <row r="28" spans="1:21" x14ac:dyDescent="0.25">
      <c r="A28" s="24">
        <v>26</v>
      </c>
      <c r="B28" s="20" t="s">
        <v>64</v>
      </c>
      <c r="C28" s="20" t="s">
        <v>65</v>
      </c>
      <c r="D28" s="21">
        <v>1.9</v>
      </c>
      <c r="E28" s="25">
        <v>0.012666666666666666</v>
      </c>
      <c r="F28" s="21">
        <v>1.7</v>
      </c>
      <c r="G28" s="25">
        <v>0.011333333333333332</v>
      </c>
      <c r="H28" s="31">
        <v>0.2</v>
      </c>
      <c r="I28" s="24">
        <v>1</v>
      </c>
      <c r="J28" s="21">
        <v>15</v>
      </c>
      <c r="K28" s="24" t="s">
        <v>149</v>
      </c>
      <c r="L28" s="32">
        <v>438.5</v>
      </c>
      <c r="M28" s="25">
        <v>0.07</v>
      </c>
      <c r="N28" s="25">
        <v>0.38</v>
      </c>
      <c r="O28" s="25">
        <v>0.53</v>
      </c>
      <c r="P28" s="25">
        <v>0.6</v>
      </c>
      <c r="Q28" s="25">
        <v>0.81</v>
      </c>
      <c r="R28" s="33" t="s">
        <v>32</v>
      </c>
      <c r="S28" s="20" t="s">
        <v>182</v>
      </c>
      <c r="T28" s="20" t="s">
        <v>151</v>
      </c>
      <c r="U28" s="20" t="s">
        <v>24</v>
      </c>
    </row>
    <row r="29" spans="1:21" x14ac:dyDescent="0.25">
      <c r="A29" s="22">
        <v>27</v>
      </c>
      <c r="B29" s="18" t="s">
        <v>66</v>
      </c>
      <c r="C29" s="18" t="s">
        <v>67</v>
      </c>
      <c r="D29" s="19">
        <v>1.9</v>
      </c>
      <c r="E29" s="23">
        <v>0.012666666666666666</v>
      </c>
      <c r="F29" s="19">
        <v>1.7</v>
      </c>
      <c r="G29" s="23">
        <v>0.011333333333333332</v>
      </c>
      <c r="H29" s="34">
        <v>0.2</v>
      </c>
      <c r="I29" s="22">
        <v>1</v>
      </c>
      <c r="J29" s="19">
        <v>15.517241379310345</v>
      </c>
      <c r="K29" s="22" t="s">
        <v>149</v>
      </c>
      <c r="L29" s="29">
        <v>127.72</v>
      </c>
      <c r="M29" s="23">
        <v>0.02</v>
      </c>
      <c r="N29" s="23">
        <v>0.24</v>
      </c>
      <c r="O29" s="23">
        <v>0.46</v>
      </c>
      <c r="P29" s="23">
        <v>0.4</v>
      </c>
      <c r="Q29" s="23">
        <v>0.64</v>
      </c>
      <c r="R29" s="30" t="s">
        <v>32</v>
      </c>
      <c r="S29" s="18" t="s">
        <v>183</v>
      </c>
      <c r="T29" s="18" t="s">
        <v>151</v>
      </c>
      <c r="U29" s="18" t="s">
        <v>24</v>
      </c>
    </row>
    <row r="30" spans="1:21" x14ac:dyDescent="0.25">
      <c r="A30" s="24">
        <v>28</v>
      </c>
      <c r="B30" s="20" t="s">
        <v>68</v>
      </c>
      <c r="C30" s="20" t="s">
        <v>28</v>
      </c>
      <c r="D30" s="21">
        <v>1.5</v>
      </c>
      <c r="E30" s="25">
        <v>0.01</v>
      </c>
      <c r="F30" s="21">
        <v>1.3</v>
      </c>
      <c r="G30" s="25">
        <v>0.008666666666666666</v>
      </c>
      <c r="H30" s="31">
        <v>0.2</v>
      </c>
      <c r="I30" s="24">
        <v>1</v>
      </c>
      <c r="J30" s="21">
        <v>12</v>
      </c>
      <c r="K30" s="24" t="s">
        <v>149</v>
      </c>
      <c r="L30" s="32">
        <v>313.35</v>
      </c>
      <c r="M30" s="25">
        <v>-0.03</v>
      </c>
      <c r="N30" s="25">
        <v>0.12</v>
      </c>
      <c r="O30" s="25">
        <v>0.27</v>
      </c>
      <c r="P30" s="25">
        <v>0.28</v>
      </c>
      <c r="Q30" s="25">
        <v>0.47</v>
      </c>
      <c r="R30" s="33">
        <v>4</v>
      </c>
      <c r="S30" s="20" t="s">
        <v>184</v>
      </c>
      <c r="T30" s="20" t="s">
        <v>151</v>
      </c>
      <c r="U30" s="20" t="s">
        <v>24</v>
      </c>
    </row>
    <row r="31" spans="1:21" x14ac:dyDescent="0.25">
      <c r="A31" s="22">
        <v>29</v>
      </c>
      <c r="B31" s="18" t="s">
        <v>69</v>
      </c>
      <c r="C31" s="18" t="s">
        <v>28</v>
      </c>
      <c r="D31" s="19">
        <v>1.5</v>
      </c>
      <c r="E31" s="23">
        <v>0.01</v>
      </c>
      <c r="F31" s="19">
        <v>1.3</v>
      </c>
      <c r="G31" s="23">
        <v>0.008666666666666666</v>
      </c>
      <c r="H31" s="34">
        <v>0.2</v>
      </c>
      <c r="I31" s="22">
        <v>1</v>
      </c>
      <c r="J31" s="19">
        <v>12</v>
      </c>
      <c r="K31" s="22" t="s">
        <v>149</v>
      </c>
      <c r="L31" s="29">
        <v>174.13</v>
      </c>
      <c r="M31" s="23">
        <v>-0.09</v>
      </c>
      <c r="N31" s="23">
        <v>0.13</v>
      </c>
      <c r="O31" s="23">
        <v>0.35</v>
      </c>
      <c r="P31" s="23">
        <v>0.22</v>
      </c>
      <c r="Q31" s="23">
        <v>0.28</v>
      </c>
      <c r="R31" s="30">
        <v>1.4</v>
      </c>
      <c r="S31" s="18" t="s">
        <v>185</v>
      </c>
      <c r="T31" s="18" t="s">
        <v>151</v>
      </c>
      <c r="U31" s="18" t="s">
        <v>24</v>
      </c>
    </row>
    <row r="32" spans="1:21" x14ac:dyDescent="0.25">
      <c r="A32" s="24">
        <v>30</v>
      </c>
      <c r="B32" s="20" t="s">
        <v>70</v>
      </c>
      <c r="C32" s="20" t="s">
        <v>71</v>
      </c>
      <c r="D32" s="21">
        <v>1.3</v>
      </c>
      <c r="E32" s="25">
        <v>0.008666666666666666</v>
      </c>
      <c r="F32" s="21">
        <v>1.1</v>
      </c>
      <c r="G32" s="25">
        <v>0.007333333333333334</v>
      </c>
      <c r="H32" s="31">
        <v>0.2</v>
      </c>
      <c r="I32" s="24">
        <v>1</v>
      </c>
      <c r="J32" s="21">
        <v>10</v>
      </c>
      <c r="K32" s="24" t="s">
        <v>146</v>
      </c>
      <c r="L32" s="32" t="s">
        <v>24</v>
      </c>
      <c r="M32" s="25" t="s">
        <v>24</v>
      </c>
      <c r="N32" s="25" t="s">
        <v>24</v>
      </c>
      <c r="O32" s="25" t="s">
        <v>24</v>
      </c>
      <c r="P32" s="25" t="s">
        <v>24</v>
      </c>
      <c r="Q32" s="25" t="s">
        <v>24</v>
      </c>
      <c r="R32" s="33" t="s">
        <v>24</v>
      </c>
      <c r="S32" s="20" t="s">
        <v>186</v>
      </c>
      <c r="T32" s="20" t="s">
        <v>29</v>
      </c>
      <c r="U32" s="20" t="s">
        <v>24</v>
      </c>
    </row>
    <row r="33" spans="1:21" x14ac:dyDescent="0.25">
      <c r="A33" s="22">
        <v>31</v>
      </c>
      <c r="B33" s="18" t="s">
        <v>72</v>
      </c>
      <c r="C33" s="18" t="s">
        <v>28</v>
      </c>
      <c r="D33" s="19">
        <v>1.3</v>
      </c>
      <c r="E33" s="23">
        <v>0.008666666666666666</v>
      </c>
      <c r="F33" s="19">
        <v>1.1</v>
      </c>
      <c r="G33" s="23">
        <v>0.007333333333333334</v>
      </c>
      <c r="H33" s="34">
        <v>0.2</v>
      </c>
      <c r="I33" s="22">
        <v>1</v>
      </c>
      <c r="J33" s="19">
        <v>10.344827586206897</v>
      </c>
      <c r="K33" s="22" t="s">
        <v>149</v>
      </c>
      <c r="L33" s="29">
        <v>379.65</v>
      </c>
      <c r="M33" s="23">
        <v>-0.05</v>
      </c>
      <c r="N33" s="23">
        <v>0.17</v>
      </c>
      <c r="O33" s="23">
        <v>0.39</v>
      </c>
      <c r="P33" s="23">
        <v>0.37</v>
      </c>
      <c r="Q33" s="23">
        <v>0.92</v>
      </c>
      <c r="R33" s="30">
        <v>3.4</v>
      </c>
      <c r="S33" s="18" t="s">
        <v>187</v>
      </c>
      <c r="T33" s="18" t="s">
        <v>151</v>
      </c>
      <c r="U33" s="18" t="s">
        <v>24</v>
      </c>
    </row>
    <row r="34" spans="1:21" x14ac:dyDescent="0.25">
      <c r="A34" s="24">
        <v>32</v>
      </c>
      <c r="B34" s="20" t="s">
        <v>73</v>
      </c>
      <c r="C34" s="20" t="s">
        <v>51</v>
      </c>
      <c r="D34" s="21">
        <v>1.3</v>
      </c>
      <c r="E34" s="25">
        <v>0.008666666666666666</v>
      </c>
      <c r="F34" s="21">
        <v>1.1</v>
      </c>
      <c r="G34" s="25">
        <v>0.007333333333333334</v>
      </c>
      <c r="H34" s="31">
        <v>0.2</v>
      </c>
      <c r="I34" s="24">
        <v>1</v>
      </c>
      <c r="J34" s="21">
        <v>10</v>
      </c>
      <c r="K34" s="24" t="s">
        <v>149</v>
      </c>
      <c r="L34" s="32">
        <v>303.85</v>
      </c>
      <c r="M34" s="25">
        <v>0.13</v>
      </c>
      <c r="N34" s="25">
        <v>0.29</v>
      </c>
      <c r="O34" s="25">
        <v>0.46</v>
      </c>
      <c r="P34" s="25">
        <v>0.49</v>
      </c>
      <c r="Q34" s="25">
        <v>0.68</v>
      </c>
      <c r="R34" s="33" t="s">
        <v>32</v>
      </c>
      <c r="S34" s="20" t="s">
        <v>188</v>
      </c>
      <c r="T34" s="20" t="s">
        <v>151</v>
      </c>
      <c r="U34" s="20" t="s">
        <v>24</v>
      </c>
    </row>
    <row r="35" spans="1:21" x14ac:dyDescent="0.25">
      <c r="A35" s="22">
        <v>33</v>
      </c>
      <c r="B35" s="18" t="s">
        <v>74</v>
      </c>
      <c r="C35" s="18" t="s">
        <v>40</v>
      </c>
      <c r="D35" s="19">
        <v>1.2</v>
      </c>
      <c r="E35" s="23">
        <v>0.008</v>
      </c>
      <c r="F35" s="19">
        <v>1.7</v>
      </c>
      <c r="G35" s="23">
        <v>0.011333333333333332</v>
      </c>
      <c r="H35" s="28">
        <v>-0.5</v>
      </c>
      <c r="I35" s="22">
        <v>1</v>
      </c>
      <c r="J35" s="19">
        <v>14.884233737596471</v>
      </c>
      <c r="K35" s="22" t="s">
        <v>149</v>
      </c>
      <c r="L35" s="29">
        <v>2396.2</v>
      </c>
      <c r="M35" s="23">
        <v>0.09</v>
      </c>
      <c r="N35" s="23">
        <v>0.23</v>
      </c>
      <c r="O35" s="23">
        <v>0.38</v>
      </c>
      <c r="P35" s="23">
        <v>0.45</v>
      </c>
      <c r="Q35" s="23">
        <v>0.77</v>
      </c>
      <c r="R35" s="30" t="s">
        <v>32</v>
      </c>
      <c r="S35" s="18" t="s">
        <v>189</v>
      </c>
      <c r="T35" s="18" t="s">
        <v>151</v>
      </c>
      <c r="U35" s="18" t="s">
        <v>24</v>
      </c>
    </row>
    <row r="36" ht="22" customHeight="1" spans="1:8" x14ac:dyDescent="0.25">
      <c r="A36" s="26" t="s">
        <v>24</v>
      </c>
      <c r="B36" s="12" t="s">
        <v>129</v>
      </c>
      <c r="C36" s="12" t="s">
        <v>24</v>
      </c>
      <c r="D36" s="13">
        <v>150</v>
      </c>
      <c r="E36" s="14">
        <v>1</v>
      </c>
      <c r="F36" s="13">
        <v>150</v>
      </c>
      <c r="G36" s="14">
        <v>1</v>
      </c>
      <c r="H36" s="37">
        <v>0</v>
      </c>
    </row>
  </sheetData>
  <mergeCells count="1">
    <mergeCell ref="A1:U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13" customWidth="1"/>
    <col min="3" max="3" width="10" customWidth="1"/>
    <col min="4" max="4" width="13" customWidth="1"/>
    <col min="5" max="5" width="11" customWidth="1"/>
  </cols>
  <sheetData>
    <row r="1" ht="26" customHeight="1" spans="1:6" x14ac:dyDescent="0.25">
      <c r="A1" s="16" t="s">
        <v>190</v>
      </c>
      <c r="B1" s="16"/>
      <c r="C1" s="16"/>
      <c r="D1" s="16"/>
      <c r="E1" s="16"/>
      <c r="F1" s="16"/>
    </row>
    <row r="2" ht="30" customHeight="1" spans="1:6" x14ac:dyDescent="0.25">
      <c r="A2" s="17" t="s">
        <v>12</v>
      </c>
      <c r="B2" s="17" t="s">
        <v>127</v>
      </c>
      <c r="C2" s="17" t="s">
        <v>128</v>
      </c>
      <c r="D2" s="17" t="s">
        <v>132</v>
      </c>
      <c r="E2" s="17" t="s">
        <v>133</v>
      </c>
      <c r="F2" s="17" t="s">
        <v>191</v>
      </c>
    </row>
    <row r="3" spans="1:6" x14ac:dyDescent="0.25">
      <c r="A3" s="18" t="s">
        <v>28</v>
      </c>
      <c r="B3" s="19">
        <v>32.9</v>
      </c>
      <c r="C3" s="23">
        <v>0.21933333333333332</v>
      </c>
      <c r="D3" s="19">
        <v>32.4</v>
      </c>
      <c r="E3" s="23">
        <v>0.216</v>
      </c>
      <c r="F3" s="22">
        <v>7</v>
      </c>
    </row>
    <row r="4" spans="1:6" x14ac:dyDescent="0.25">
      <c r="A4" s="20" t="s">
        <v>40</v>
      </c>
      <c r="B4" s="21">
        <v>19.099999999999998</v>
      </c>
      <c r="C4" s="25">
        <v>0.12733333333333333</v>
      </c>
      <c r="D4" s="21">
        <v>19.5</v>
      </c>
      <c r="E4" s="25">
        <v>0.13</v>
      </c>
      <c r="F4" s="24">
        <v>5</v>
      </c>
    </row>
    <row r="5" spans="1:6" x14ac:dyDescent="0.25">
      <c r="A5" s="18" t="s">
        <v>31</v>
      </c>
      <c r="B5" s="19">
        <v>16.7</v>
      </c>
      <c r="C5" s="23">
        <v>0.11133333333333333</v>
      </c>
      <c r="D5" s="19">
        <v>18</v>
      </c>
      <c r="E5" s="23">
        <v>0.12</v>
      </c>
      <c r="F5" s="22">
        <v>2</v>
      </c>
    </row>
    <row r="6" spans="1:6" x14ac:dyDescent="0.25">
      <c r="A6" s="20" t="s">
        <v>23</v>
      </c>
      <c r="B6" s="21">
        <v>12</v>
      </c>
      <c r="C6" s="25">
        <v>0.08</v>
      </c>
      <c r="D6" s="21">
        <v>12.7</v>
      </c>
      <c r="E6" s="25">
        <v>0.08466666666666667</v>
      </c>
      <c r="F6" s="24">
        <v>1</v>
      </c>
    </row>
    <row r="7" spans="1:6" x14ac:dyDescent="0.25">
      <c r="A7" s="18" t="s">
        <v>35</v>
      </c>
      <c r="B7" s="19">
        <v>11.4</v>
      </c>
      <c r="C7" s="23">
        <v>0.076</v>
      </c>
      <c r="D7" s="19">
        <v>10.7</v>
      </c>
      <c r="E7" s="23">
        <v>0.07133333333333333</v>
      </c>
      <c r="F7" s="22">
        <v>2</v>
      </c>
    </row>
    <row r="8" spans="1:6" x14ac:dyDescent="0.25">
      <c r="A8" s="20" t="s">
        <v>38</v>
      </c>
      <c r="B8" s="21">
        <v>10.7</v>
      </c>
      <c r="C8" s="25">
        <v>0.07133333333333333</v>
      </c>
      <c r="D8" s="21">
        <v>11.2</v>
      </c>
      <c r="E8" s="25">
        <v>0.07466666666666666</v>
      </c>
      <c r="F8" s="24">
        <v>2</v>
      </c>
    </row>
    <row r="9" spans="1:6" x14ac:dyDescent="0.25">
      <c r="A9" s="18" t="s">
        <v>26</v>
      </c>
      <c r="B9" s="19">
        <v>9.9</v>
      </c>
      <c r="C9" s="23">
        <v>0.066</v>
      </c>
      <c r="D9" s="19">
        <v>9.6</v>
      </c>
      <c r="E9" s="23">
        <v>0.064</v>
      </c>
      <c r="F9" s="22">
        <v>1</v>
      </c>
    </row>
    <row r="10" spans="1:6" x14ac:dyDescent="0.25">
      <c r="A10" s="20" t="s">
        <v>49</v>
      </c>
      <c r="B10" s="21">
        <v>7.5</v>
      </c>
      <c r="C10" s="25">
        <v>0.05</v>
      </c>
      <c r="D10" s="21">
        <v>7.1</v>
      </c>
      <c r="E10" s="25">
        <v>0.04733333333333333</v>
      </c>
      <c r="F10" s="24">
        <v>2</v>
      </c>
    </row>
    <row r="11" spans="1:6" x14ac:dyDescent="0.25">
      <c r="A11" s="18" t="s">
        <v>51</v>
      </c>
      <c r="B11" s="19">
        <v>7</v>
      </c>
      <c r="C11" s="23">
        <v>0.04666666666666667</v>
      </c>
      <c r="D11" s="19">
        <v>7.1</v>
      </c>
      <c r="E11" s="23">
        <v>0.04733333333333333</v>
      </c>
      <c r="F11" s="22">
        <v>3</v>
      </c>
    </row>
    <row r="12" spans="1:6" x14ac:dyDescent="0.25">
      <c r="A12" s="20" t="s">
        <v>44</v>
      </c>
      <c r="B12" s="21">
        <v>4.5</v>
      </c>
      <c r="C12" s="25">
        <v>0.03</v>
      </c>
      <c r="D12" s="21">
        <v>4.1</v>
      </c>
      <c r="E12" s="25">
        <v>0.02733333333333333</v>
      </c>
      <c r="F12" s="24">
        <v>1</v>
      </c>
    </row>
    <row r="13" spans="1:6" x14ac:dyDescent="0.25">
      <c r="A13" s="18" t="s">
        <v>47</v>
      </c>
      <c r="B13" s="19">
        <v>4.2</v>
      </c>
      <c r="C13" s="23">
        <v>0.028</v>
      </c>
      <c r="D13" s="19">
        <v>3.7</v>
      </c>
      <c r="E13" s="23">
        <v>0.024666666666666667</v>
      </c>
      <c r="F13" s="22">
        <v>1</v>
      </c>
    </row>
    <row r="14" spans="1:6" x14ac:dyDescent="0.25">
      <c r="A14" s="20" t="s">
        <v>57</v>
      </c>
      <c r="B14" s="21">
        <v>3.2</v>
      </c>
      <c r="C14" s="25">
        <v>0.021333333333333336</v>
      </c>
      <c r="D14" s="21">
        <v>3.3</v>
      </c>
      <c r="E14" s="25">
        <v>0.022</v>
      </c>
      <c r="F14" s="24">
        <v>1</v>
      </c>
    </row>
    <row r="15" spans="1:6" x14ac:dyDescent="0.25">
      <c r="A15" s="18" t="s">
        <v>59</v>
      </c>
      <c r="B15" s="19">
        <v>3.2</v>
      </c>
      <c r="C15" s="23">
        <v>0.021333333333333336</v>
      </c>
      <c r="D15" s="19">
        <v>2.8</v>
      </c>
      <c r="E15" s="23">
        <v>0.018666666666666665</v>
      </c>
      <c r="F15" s="22">
        <v>1</v>
      </c>
    </row>
    <row r="16" spans="1:6" x14ac:dyDescent="0.25">
      <c r="A16" s="20" t="s">
        <v>61</v>
      </c>
      <c r="B16" s="21">
        <v>2.6</v>
      </c>
      <c r="C16" s="25">
        <v>0.017333333333333333</v>
      </c>
      <c r="D16" s="21">
        <v>3.3</v>
      </c>
      <c r="E16" s="25">
        <v>0.022</v>
      </c>
      <c r="F16" s="24">
        <v>1</v>
      </c>
    </row>
    <row r="17" spans="1:6" x14ac:dyDescent="0.25">
      <c r="A17" s="18" t="s">
        <v>67</v>
      </c>
      <c r="B17" s="19">
        <v>1.9</v>
      </c>
      <c r="C17" s="23">
        <v>0.012666666666666666</v>
      </c>
      <c r="D17" s="19">
        <v>1.7</v>
      </c>
      <c r="E17" s="23">
        <v>0.011333333333333332</v>
      </c>
      <c r="F17" s="22">
        <v>1</v>
      </c>
    </row>
    <row r="18" spans="1:6" x14ac:dyDescent="0.25">
      <c r="A18" s="20" t="s">
        <v>65</v>
      </c>
      <c r="B18" s="21">
        <v>1.9</v>
      </c>
      <c r="C18" s="25">
        <v>0.012666666666666666</v>
      </c>
      <c r="D18" s="21">
        <v>1.7</v>
      </c>
      <c r="E18" s="25">
        <v>0.011333333333333332</v>
      </c>
      <c r="F18" s="24">
        <v>1</v>
      </c>
    </row>
    <row r="19" spans="1:6" x14ac:dyDescent="0.25">
      <c r="A19" s="18" t="s">
        <v>71</v>
      </c>
      <c r="B19" s="19">
        <v>1.3</v>
      </c>
      <c r="C19" s="23">
        <v>0.008666666666666666</v>
      </c>
      <c r="D19" s="19">
        <v>1.1</v>
      </c>
      <c r="E19" s="23">
        <v>0.007333333333333334</v>
      </c>
      <c r="F19" s="22">
        <v>1</v>
      </c>
    </row>
    <row r="20" ht="22" customHeight="1" spans="1:6" x14ac:dyDescent="0.25">
      <c r="A20" s="12" t="s">
        <v>129</v>
      </c>
      <c r="B20" s="13">
        <v>150</v>
      </c>
      <c r="C20" s="14">
        <v>1</v>
      </c>
      <c r="D20" s="13">
        <v>150</v>
      </c>
      <c r="E20" s="14">
        <v>1</v>
      </c>
      <c r="F20" s="26">
        <v>33</v>
      </c>
    </row>
  </sheetData>
  <mergeCells count="1">
    <mergeCell ref="A1:F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FormatPr defaultRowHeight="15" outlineLevelRow="0" outlineLevelCol="0" x14ac:dyDescent="55"/>
  <cols>
    <col min="1" max="1" width="140" customWidth="1"/>
  </cols>
  <sheetData>
    <row r="1" ht="26" customHeight="1" spans="1:1" x14ac:dyDescent="0.25">
      <c r="A1" s="38" t="s">
        <v>192</v>
      </c>
    </row>
    <row r="2" ht="20" customHeight="1" spans="1:1" x14ac:dyDescent="0.25">
      <c r="A2" s="39" t="s">
        <v>193</v>
      </c>
    </row>
    <row r="3" ht="32" customHeight="1" spans="1:1" x14ac:dyDescent="0.25">
      <c r="A3" s="40" t="s">
        <v>194</v>
      </c>
    </row>
    <row r="4" ht="32" customHeight="1" spans="1:1" x14ac:dyDescent="0.25">
      <c r="A4" s="40" t="s">
        <v>195</v>
      </c>
    </row>
    <row r="5" ht="32" customHeight="1" spans="1:1" x14ac:dyDescent="0.25">
      <c r="A5" s="40" t="s">
        <v>196</v>
      </c>
    </row>
    <row r="6" ht="32" customHeight="1" spans="1:1" x14ac:dyDescent="0.25">
      <c r="A6" s="40" t="s">
        <v>197</v>
      </c>
    </row>
    <row r="7" ht="20" customHeight="1" spans="1:1" x14ac:dyDescent="0.25">
      <c r="A7" s="39" t="s">
        <v>198</v>
      </c>
    </row>
    <row r="8" ht="32" customHeight="1" spans="1:1" x14ac:dyDescent="0.25">
      <c r="A8" s="40" t="s">
        <v>199</v>
      </c>
    </row>
    <row r="9" ht="32" customHeight="1" spans="1:1" x14ac:dyDescent="0.25">
      <c r="A9" s="40" t="s">
        <v>200</v>
      </c>
    </row>
    <row r="10" ht="32" customHeight="1" spans="1:1" x14ac:dyDescent="0.25">
      <c r="A10" s="40" t="s">
        <v>201</v>
      </c>
    </row>
    <row r="11" ht="32" customHeight="1" spans="1:1" x14ac:dyDescent="0.25">
      <c r="A11" s="40" t="s">
        <v>202</v>
      </c>
    </row>
    <row r="12" ht="32" customHeight="1" spans="1:1" x14ac:dyDescent="0.25">
      <c r="A12" s="40" t="s">
        <v>203</v>
      </c>
    </row>
    <row r="13" ht="32" customHeight="1" spans="1:1" x14ac:dyDescent="0.25">
      <c r="A13" s="40" t="s">
        <v>204</v>
      </c>
    </row>
    <row r="14" ht="20" customHeight="1" spans="1:1" x14ac:dyDescent="0.25">
      <c r="A14" s="39" t="s">
        <v>205</v>
      </c>
    </row>
    <row r="15" ht="32" customHeight="1" spans="1:1" x14ac:dyDescent="0.25">
      <c r="A15" s="40" t="s">
        <v>206</v>
      </c>
    </row>
    <row r="16" ht="32" customHeight="1" spans="1:1" x14ac:dyDescent="0.25">
      <c r="A16" s="40" t="s">
        <v>207</v>
      </c>
    </row>
    <row r="17" ht="32" customHeight="1" spans="1:1" x14ac:dyDescent="0.25">
      <c r="A17" s="40" t="s">
        <v>208</v>
      </c>
    </row>
    <row r="18" ht="20" customHeight="1" spans="1:1" x14ac:dyDescent="0.25">
      <c r="A18" s="39" t="s">
        <v>209</v>
      </c>
    </row>
    <row r="19" ht="32" customHeight="1" spans="1:1" x14ac:dyDescent="0.25">
      <c r="A19" s="40" t="s">
        <v>210</v>
      </c>
    </row>
    <row r="20" ht="32" customHeight="1" spans="1:1" x14ac:dyDescent="0.25">
      <c r="A20" s="40" t="s">
        <v>211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CIO Summary</vt:lpstr>
      <vt:lpstr>Raw Submissions</vt:lpstr>
      <vt:lpstr>Allocation Matrix</vt:lpstr>
      <vt:lpstr>Consensus (WACC)</vt:lpstr>
      <vt:lpstr>Sector Summary</vt:lpstr>
      <vt:lpstr>Notes &amp; Flags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OctoTusk allocation compiler</dc:creator>
  <dc:title/>
  <dc:subject/>
  <dc:description/>
  <cp:keywords/>
  <cp:category/>
  <cp:lastModifiedBy>Unknown</cp:lastModifiedBy>
  <dcterms:created xsi:type="dcterms:W3CDTF">2026-06-15T10:00:15Z</dcterms:created>
  <dcterms:modified xsi:type="dcterms:W3CDTF">2026-06-15T10:00:15Z</dcterms:modified>
</cp:coreProperties>
</file>